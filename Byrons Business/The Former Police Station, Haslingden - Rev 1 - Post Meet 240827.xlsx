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https://byrontack-my.sharepoint.com/personal/byron_trigon-group_co_uk/Documents/TRIGON/CO001 - Construx Ltd/003. Police Station/"/>
    </mc:Choice>
  </mc:AlternateContent>
  <xr:revisionPtr revIDLastSave="3232" documentId="8_{3E749D88-86FC-49AD-BBD5-7A0EB5A4D594}" xr6:coauthVersionLast="47" xr6:coauthVersionMax="47" xr10:uidLastSave="{D3A3CDAD-C31F-4359-81B1-E8640B59F986}"/>
  <bookViews>
    <workbookView xWindow="-98" yWindow="-98" windowWidth="20715" windowHeight="13155" tabRatio="776" activeTab="13" xr2:uid="{00000000-000D-0000-FFFF-FFFF00000000}"/>
  </bookViews>
  <sheets>
    <sheet name="Summary" sheetId="14" r:id="rId1"/>
    <sheet name="00 General Clarifications" sheetId="36" r:id="rId2"/>
    <sheet name="01 Prelims" sheetId="35" r:id="rId3"/>
    <sheet name="02 Plot Groundworks" sheetId="29" r:id="rId4"/>
    <sheet name="03 External Groundworks" sheetId="34" r:id="rId5"/>
    <sheet name="04 External Facade" sheetId="6" r:id="rId6"/>
    <sheet name="05 Drylining, Screed &amp; Render" sheetId="3" r:id="rId7"/>
    <sheet name="06 M&amp;E" sheetId="37" r:id="rId8"/>
    <sheet name="07 Carpentry" sheetId="7" r:id="rId9"/>
    <sheet name="08 Roof Coverings" sheetId="33" r:id="rId10"/>
    <sheet name="09 Decorating &amp; Other Finishing" sheetId="4" r:id="rId11"/>
    <sheet name="10 Materials" sheetId="32" r:id="rId12"/>
    <sheet name="11 Landscaping" sheetId="38" r:id="rId13"/>
    <sheet name="12 Walls &amp; Fences" sheetId="39" r:id="rId14"/>
  </sheets>
  <definedNames>
    <definedName name="_xlnm.Print_Area" localSheetId="1">'00 General Clarifications'!$A$1:$C$25</definedName>
    <definedName name="_xlnm.Print_Area" localSheetId="3">'02 Plot Groundworks'!$A$1:$G$40</definedName>
    <definedName name="_xlnm.Print_Area" localSheetId="4">'03 External Groundworks'!$A$1:$G$271</definedName>
    <definedName name="_xlnm.Print_Area" localSheetId="5">'04 External Facade'!$A$1:$G$93</definedName>
    <definedName name="_xlnm.Print_Area" localSheetId="6">'05 Drylining, Screed &amp; Render'!$A$1:$G$147</definedName>
    <definedName name="_xlnm.Print_Area" localSheetId="8">'07 Carpentry'!$A$1:$G$235</definedName>
    <definedName name="_xlnm.Print_Area" localSheetId="9">'08 Roof Coverings'!$A$1:$G$39</definedName>
    <definedName name="_xlnm.Print_Area" localSheetId="10">'09 Decorating &amp; Other Finishing'!$A$1:$G$98</definedName>
    <definedName name="_xlnm.Print_Area" localSheetId="11">'10 Materials'!$A$1:$G$132</definedName>
    <definedName name="_xlnm.Print_Area" localSheetId="12">'11 Landscaping'!$A$1:$G$65</definedName>
    <definedName name="_xlnm.Print_Area" localSheetId="13">'12 Walls &amp; Fences'!$A$1:$G$65</definedName>
    <definedName name="_xlnm.Print_Titles" localSheetId="3">'02 Plot Groundworks'!$1:$4</definedName>
    <definedName name="_xlnm.Print_Titles" localSheetId="4">'03 External Groundworks'!$1:$4</definedName>
    <definedName name="_xlnm.Print_Titles" localSheetId="5">'04 External Facade'!$1:$4</definedName>
    <definedName name="_xlnm.Print_Titles" localSheetId="6">'05 Drylining, Screed &amp; Render'!$1:$4</definedName>
    <definedName name="_xlnm.Print_Titles" localSheetId="7">'06 M&amp;E'!$1:$4</definedName>
    <definedName name="_xlnm.Print_Titles" localSheetId="8">'07 Carpentry'!$1:$4</definedName>
    <definedName name="_xlnm.Print_Titles" localSheetId="9">'08 Roof Coverings'!$1:$4</definedName>
    <definedName name="_xlnm.Print_Titles" localSheetId="10">'09 Decorating &amp; Other Finishing'!$1:$4</definedName>
    <definedName name="_xlnm.Print_Titles" localSheetId="11">'10 Materials'!$1:$4</definedName>
    <definedName name="_xlnm.Print_Titles" localSheetId="12">'11 Landscaping'!$1:$4</definedName>
    <definedName name="_xlnm.Print_Titles" localSheetId="13">'12 Walls &amp; Fences'!$1:$4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38" l="1"/>
  <c r="E123" i="32"/>
  <c r="E10" i="34"/>
  <c r="F26" i="29"/>
  <c r="C37" i="14"/>
  <c r="F81" i="7"/>
  <c r="F118" i="7"/>
  <c r="F197" i="7"/>
  <c r="F234" i="7"/>
  <c r="F74" i="3"/>
  <c r="F146" i="3"/>
  <c r="F49" i="34"/>
  <c r="F270" i="34"/>
  <c r="E150" i="34"/>
  <c r="E138" i="34"/>
  <c r="E108" i="34"/>
  <c r="E94" i="34"/>
  <c r="C86" i="34"/>
  <c r="E76" i="34"/>
  <c r="E58" i="34"/>
  <c r="E32" i="34"/>
  <c r="F242" i="34"/>
  <c r="F241" i="34"/>
  <c r="F240" i="34"/>
  <c r="F239" i="34"/>
  <c r="F238" i="34"/>
  <c r="F237" i="34"/>
  <c r="F236" i="34"/>
  <c r="F235" i="34"/>
  <c r="F234" i="34"/>
  <c r="F233" i="34"/>
  <c r="F232" i="34"/>
  <c r="F231" i="34"/>
  <c r="F230" i="34"/>
  <c r="F229" i="34"/>
  <c r="F228" i="34"/>
  <c r="F227" i="34"/>
  <c r="F226" i="34"/>
  <c r="F225" i="34"/>
  <c r="F224" i="34"/>
  <c r="F223" i="34"/>
  <c r="F222" i="34"/>
  <c r="F221" i="34"/>
  <c r="F220" i="34"/>
  <c r="F219" i="34"/>
  <c r="F218" i="34"/>
  <c r="F217" i="34"/>
  <c r="F216" i="34"/>
  <c r="F215" i="34"/>
  <c r="F214" i="34"/>
  <c r="F213" i="34"/>
  <c r="F212" i="34"/>
  <c r="F211" i="34"/>
  <c r="F210" i="34"/>
  <c r="F209" i="34"/>
  <c r="F208" i="34"/>
  <c r="F207" i="34"/>
  <c r="F197" i="34"/>
  <c r="F196" i="34"/>
  <c r="F195" i="34"/>
  <c r="F194" i="34"/>
  <c r="F193" i="34"/>
  <c r="F192" i="34"/>
  <c r="F191" i="34"/>
  <c r="F190" i="34"/>
  <c r="F189" i="34"/>
  <c r="F188" i="34"/>
  <c r="F187" i="34"/>
  <c r="F186" i="34"/>
  <c r="F185" i="34"/>
  <c r="F184" i="34"/>
  <c r="F183" i="34"/>
  <c r="F182" i="34"/>
  <c r="F181" i="34"/>
  <c r="F180" i="34"/>
  <c r="F179" i="34"/>
  <c r="F200" i="34" s="1"/>
  <c r="F178" i="34"/>
  <c r="F177" i="34"/>
  <c r="F176" i="34"/>
  <c r="F175" i="34"/>
  <c r="F174" i="34"/>
  <c r="F173" i="34"/>
  <c r="F172" i="34"/>
  <c r="F171" i="34"/>
  <c r="F170" i="34"/>
  <c r="F169" i="34"/>
  <c r="F168" i="34"/>
  <c r="F167" i="34"/>
  <c r="F166" i="34"/>
  <c r="F165" i="34"/>
  <c r="F164" i="34"/>
  <c r="F163" i="34"/>
  <c r="F162" i="34"/>
  <c r="F161" i="34"/>
  <c r="F160" i="34"/>
  <c r="F159" i="34"/>
  <c r="F158" i="34"/>
  <c r="F157" i="34"/>
  <c r="F156" i="34"/>
  <c r="F155" i="34"/>
  <c r="F154" i="34"/>
  <c r="F153" i="34"/>
  <c r="F152" i="34"/>
  <c r="F151" i="34"/>
  <c r="F149" i="34"/>
  <c r="F147" i="34"/>
  <c r="F145" i="34"/>
  <c r="F143" i="34"/>
  <c r="F141" i="34"/>
  <c r="F139" i="34"/>
  <c r="F137" i="34"/>
  <c r="F135" i="34"/>
  <c r="F126" i="34"/>
  <c r="F125" i="34"/>
  <c r="F124" i="34"/>
  <c r="F123" i="34"/>
  <c r="F122" i="34"/>
  <c r="F121" i="34"/>
  <c r="F120" i="34"/>
  <c r="F119" i="34"/>
  <c r="F118" i="34"/>
  <c r="F117" i="34"/>
  <c r="F116" i="34"/>
  <c r="F115" i="34"/>
  <c r="F114" i="34"/>
  <c r="F113" i="34"/>
  <c r="F111" i="34"/>
  <c r="F110" i="34"/>
  <c r="F107" i="34"/>
  <c r="F106" i="34"/>
  <c r="F105" i="34"/>
  <c r="F104" i="34"/>
  <c r="F103" i="34"/>
  <c r="F102" i="34"/>
  <c r="F101" i="34"/>
  <c r="F100" i="34"/>
  <c r="F99" i="34"/>
  <c r="F97" i="34"/>
  <c r="F96" i="34"/>
  <c r="F95" i="34"/>
  <c r="F93" i="34"/>
  <c r="F92" i="34"/>
  <c r="F91" i="34"/>
  <c r="F90" i="34"/>
  <c r="F89" i="34"/>
  <c r="F88" i="34"/>
  <c r="F87" i="34"/>
  <c r="F85" i="34"/>
  <c r="F84" i="34"/>
  <c r="F83" i="34"/>
  <c r="F81" i="34"/>
  <c r="F80" i="34"/>
  <c r="F79" i="34"/>
  <c r="F78" i="34"/>
  <c r="F75" i="34"/>
  <c r="F74" i="34"/>
  <c r="F73" i="34"/>
  <c r="F72" i="34"/>
  <c r="F71" i="34"/>
  <c r="F70" i="34"/>
  <c r="F69" i="34"/>
  <c r="F68" i="34"/>
  <c r="F67" i="34"/>
  <c r="F66" i="34"/>
  <c r="F65" i="34"/>
  <c r="F63" i="34"/>
  <c r="F62" i="34"/>
  <c r="F61" i="34"/>
  <c r="F60" i="34"/>
  <c r="F57" i="34"/>
  <c r="F56" i="34"/>
  <c r="F11" i="34"/>
  <c r="F12" i="34"/>
  <c r="F13" i="34"/>
  <c r="F15" i="34"/>
  <c r="F16" i="34"/>
  <c r="F17" i="34"/>
  <c r="F18" i="34"/>
  <c r="F19" i="34"/>
  <c r="F20" i="34"/>
  <c r="F21" i="34"/>
  <c r="F22" i="34"/>
  <c r="F23" i="34"/>
  <c r="F24" i="34"/>
  <c r="F25" i="34"/>
  <c r="F26" i="34"/>
  <c r="F27" i="34"/>
  <c r="F28" i="34"/>
  <c r="F29" i="34"/>
  <c r="F30" i="34"/>
  <c r="F31" i="34"/>
  <c r="F33" i="34"/>
  <c r="F34" i="34"/>
  <c r="F35" i="34"/>
  <c r="F37" i="34"/>
  <c r="F38" i="34"/>
  <c r="F39" i="34"/>
  <c r="F40" i="34"/>
  <c r="F41" i="34"/>
  <c r="F42" i="34"/>
  <c r="F43" i="34"/>
  <c r="F44" i="34"/>
  <c r="F45" i="34"/>
  <c r="F46" i="34"/>
  <c r="F18" i="6"/>
  <c r="I10" i="34"/>
  <c r="H88" i="6"/>
  <c r="J88" i="6" s="1"/>
  <c r="H84" i="6"/>
  <c r="J84" i="6" s="1"/>
  <c r="H82" i="6"/>
  <c r="J82" i="6" s="1"/>
  <c r="H80" i="6"/>
  <c r="J80" i="6" s="1"/>
  <c r="H78" i="6"/>
  <c r="J78" i="6" s="1"/>
  <c r="H76" i="6"/>
  <c r="J76" i="6" s="1"/>
  <c r="H74" i="6"/>
  <c r="J74" i="6" s="1"/>
  <c r="F70" i="6"/>
  <c r="F68" i="6"/>
  <c r="F36" i="6"/>
  <c r="F34" i="6"/>
  <c r="F129" i="34" l="1"/>
  <c r="D13" i="14" s="1"/>
  <c r="F90" i="3"/>
  <c r="F18" i="3"/>
  <c r="F143" i="3" l="1"/>
  <c r="F142" i="3"/>
  <c r="F141" i="3"/>
  <c r="F140" i="3"/>
  <c r="F139" i="3"/>
  <c r="F138" i="3"/>
  <c r="F137" i="3"/>
  <c r="F136" i="3"/>
  <c r="F135" i="3"/>
  <c r="F134" i="3"/>
  <c r="F133" i="3"/>
  <c r="F132" i="3"/>
  <c r="F131" i="3"/>
  <c r="F130" i="3"/>
  <c r="F129" i="3"/>
  <c r="F128" i="3"/>
  <c r="F127" i="3"/>
  <c r="F126" i="3"/>
  <c r="F125" i="3"/>
  <c r="F124" i="3"/>
  <c r="F123" i="3"/>
  <c r="F122" i="3"/>
  <c r="F121" i="3"/>
  <c r="F120" i="3"/>
  <c r="F119" i="3"/>
  <c r="F80" i="3"/>
  <c r="F81" i="3"/>
  <c r="F82" i="3"/>
  <c r="F83" i="3"/>
  <c r="F85" i="3"/>
  <c r="F87" i="3"/>
  <c r="F89" i="3"/>
  <c r="F93" i="3"/>
  <c r="F94" i="3"/>
  <c r="F95" i="3"/>
  <c r="F97" i="3"/>
  <c r="F98" i="3"/>
  <c r="F99" i="3"/>
  <c r="F100" i="3"/>
  <c r="F101" i="3"/>
  <c r="F102" i="3"/>
  <c r="F103" i="3"/>
  <c r="F105" i="3"/>
  <c r="F106" i="3"/>
  <c r="F107" i="3"/>
  <c r="F108" i="3"/>
  <c r="F109" i="3"/>
  <c r="F111" i="3"/>
  <c r="F79" i="3"/>
  <c r="F115" i="3" s="1"/>
  <c r="F48" i="3"/>
  <c r="F49" i="3"/>
  <c r="F50" i="3"/>
  <c r="F52" i="3"/>
  <c r="F54" i="3"/>
  <c r="F55" i="3"/>
  <c r="F56" i="3"/>
  <c r="F57" i="3"/>
  <c r="F58" i="3"/>
  <c r="F59" i="3"/>
  <c r="F60" i="3"/>
  <c r="F61" i="3"/>
  <c r="F62" i="3"/>
  <c r="F63" i="3"/>
  <c r="F64" i="3"/>
  <c r="F65" i="3"/>
  <c r="F66" i="3"/>
  <c r="F67" i="3"/>
  <c r="F68" i="3"/>
  <c r="F69" i="3"/>
  <c r="F70" i="3"/>
  <c r="F71" i="3"/>
  <c r="F8" i="3"/>
  <c r="F9" i="3"/>
  <c r="F10" i="3"/>
  <c r="F11" i="3"/>
  <c r="F12" i="3"/>
  <c r="F14" i="3"/>
  <c r="F16" i="3"/>
  <c r="F22" i="3"/>
  <c r="F23" i="3"/>
  <c r="F24" i="3"/>
  <c r="F26" i="3"/>
  <c r="F28" i="3"/>
  <c r="F29" i="3"/>
  <c r="F30" i="3"/>
  <c r="F31" i="3"/>
  <c r="F32" i="3"/>
  <c r="F34" i="3"/>
  <c r="F36" i="3"/>
  <c r="F37" i="3"/>
  <c r="F38" i="3"/>
  <c r="F40" i="3"/>
  <c r="F7" i="3"/>
  <c r="F44" i="3" s="1"/>
  <c r="D17" i="14" s="1"/>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1"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64"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61" i="7" s="1"/>
  <c r="F129" i="7"/>
  <c r="F128" i="7"/>
  <c r="F127" i="7"/>
  <c r="F126" i="7"/>
  <c r="F125" i="7"/>
  <c r="F124" i="7"/>
  <c r="F123" i="7"/>
  <c r="F122"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11" i="7"/>
  <c r="F12" i="7"/>
  <c r="F13" i="7"/>
  <c r="F14" i="7"/>
  <c r="F45" i="7" s="1"/>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10" i="7"/>
  <c r="F99" i="32"/>
  <c r="F36" i="32"/>
  <c r="D21" i="14" l="1"/>
  <c r="L13" i="39"/>
  <c r="L12" i="39"/>
  <c r="L11" i="39"/>
  <c r="L15" i="39" s="1"/>
  <c r="L17" i="39" s="1"/>
  <c r="L19" i="39" s="1"/>
  <c r="L10" i="39"/>
  <c r="F8" i="39"/>
  <c r="F9" i="39"/>
  <c r="F10" i="39"/>
  <c r="F11" i="39"/>
  <c r="F12" i="39"/>
  <c r="F13" i="39"/>
  <c r="F14" i="39"/>
  <c r="F64" i="39" s="1"/>
  <c r="D31" i="14" s="1"/>
  <c r="F15" i="39"/>
  <c r="F16" i="39"/>
  <c r="F17" i="39"/>
  <c r="F18" i="39"/>
  <c r="F19" i="39"/>
  <c r="F122" i="39"/>
  <c r="F121" i="39"/>
  <c r="F120" i="39"/>
  <c r="F119" i="39"/>
  <c r="F118" i="39"/>
  <c r="F117" i="39"/>
  <c r="F116" i="39"/>
  <c r="F115" i="39"/>
  <c r="F114" i="39"/>
  <c r="F113" i="39"/>
  <c r="F112" i="39"/>
  <c r="F111" i="39"/>
  <c r="F110" i="39"/>
  <c r="F109" i="39"/>
  <c r="F108" i="39"/>
  <c r="F107" i="39"/>
  <c r="F106" i="39"/>
  <c r="F105" i="39"/>
  <c r="F104" i="39"/>
  <c r="F103" i="39"/>
  <c r="F102" i="39"/>
  <c r="F101" i="39"/>
  <c r="F100" i="39"/>
  <c r="F99" i="39"/>
  <c r="F98" i="39"/>
  <c r="F97" i="39"/>
  <c r="F96" i="39"/>
  <c r="F95" i="39"/>
  <c r="F94" i="39"/>
  <c r="F93" i="39"/>
  <c r="F91" i="39"/>
  <c r="F89" i="39"/>
  <c r="F87" i="39"/>
  <c r="F85" i="39"/>
  <c r="F83" i="39"/>
  <c r="F81" i="39"/>
  <c r="F73" i="39"/>
  <c r="F72" i="39"/>
  <c r="F71" i="39"/>
  <c r="F70" i="39"/>
  <c r="F69" i="39"/>
  <c r="F125" i="39" s="1"/>
  <c r="F61" i="39"/>
  <c r="F60" i="39"/>
  <c r="F59" i="39"/>
  <c r="F58" i="39"/>
  <c r="F57" i="39"/>
  <c r="F56" i="39"/>
  <c r="F55" i="39"/>
  <c r="F54" i="39"/>
  <c r="F53" i="39"/>
  <c r="F52" i="39"/>
  <c r="F51" i="39"/>
  <c r="F50" i="39"/>
  <c r="F49" i="39"/>
  <c r="F48" i="39"/>
  <c r="F47" i="39"/>
  <c r="F46" i="39"/>
  <c r="F45" i="39"/>
  <c r="F44" i="39"/>
  <c r="F43" i="39"/>
  <c r="F42" i="39"/>
  <c r="F41" i="39"/>
  <c r="F40" i="39"/>
  <c r="F39" i="39"/>
  <c r="F38" i="39"/>
  <c r="F37" i="39"/>
  <c r="F36" i="39"/>
  <c r="F35" i="39"/>
  <c r="F34" i="39"/>
  <c r="F33" i="39"/>
  <c r="F32" i="39"/>
  <c r="F30" i="39"/>
  <c r="F28" i="39"/>
  <c r="F26" i="39"/>
  <c r="F24" i="39"/>
  <c r="F22" i="39"/>
  <c r="F20" i="39"/>
  <c r="A2" i="39"/>
  <c r="F122" i="38" l="1"/>
  <c r="F121" i="38"/>
  <c r="F120" i="38"/>
  <c r="F119" i="38"/>
  <c r="F118" i="38"/>
  <c r="F117" i="38"/>
  <c r="F116" i="38"/>
  <c r="F115" i="38"/>
  <c r="F114" i="38"/>
  <c r="F113" i="38"/>
  <c r="F112" i="38"/>
  <c r="F111" i="38"/>
  <c r="F110" i="38"/>
  <c r="F109" i="38"/>
  <c r="F108" i="38"/>
  <c r="F107" i="38"/>
  <c r="F106" i="38"/>
  <c r="F105" i="38"/>
  <c r="F104" i="38"/>
  <c r="F103" i="38"/>
  <c r="F102" i="38"/>
  <c r="F101" i="38"/>
  <c r="F100" i="38"/>
  <c r="F99" i="38"/>
  <c r="F98" i="38"/>
  <c r="F97" i="38"/>
  <c r="F96" i="38"/>
  <c r="F95" i="38"/>
  <c r="F94" i="38"/>
  <c r="F93" i="38"/>
  <c r="F91" i="38"/>
  <c r="F89" i="38"/>
  <c r="F87" i="38"/>
  <c r="F85" i="38"/>
  <c r="F83" i="38"/>
  <c r="F81" i="38"/>
  <c r="F73" i="38"/>
  <c r="F72" i="38"/>
  <c r="F71" i="38"/>
  <c r="F70" i="38"/>
  <c r="F69" i="38"/>
  <c r="F61" i="38"/>
  <c r="F60" i="38"/>
  <c r="F59" i="38"/>
  <c r="F58" i="38"/>
  <c r="F57" i="38"/>
  <c r="F56" i="38"/>
  <c r="F55" i="38"/>
  <c r="F54" i="38"/>
  <c r="F53" i="38"/>
  <c r="F52" i="38"/>
  <c r="F51" i="38"/>
  <c r="F50" i="38"/>
  <c r="F49" i="38"/>
  <c r="F48" i="38"/>
  <c r="F47" i="38"/>
  <c r="F46" i="38"/>
  <c r="F45" i="38"/>
  <c r="F44" i="38"/>
  <c r="F43" i="38"/>
  <c r="F42" i="38"/>
  <c r="F41" i="38"/>
  <c r="F40" i="38"/>
  <c r="F39" i="38"/>
  <c r="F38" i="38"/>
  <c r="F37" i="38"/>
  <c r="F36" i="38"/>
  <c r="F35" i="38"/>
  <c r="F34" i="38"/>
  <c r="F33" i="38"/>
  <c r="F32" i="38"/>
  <c r="F30" i="38"/>
  <c r="F28" i="38"/>
  <c r="F26" i="38"/>
  <c r="F24" i="38"/>
  <c r="F22" i="38"/>
  <c r="F20" i="38"/>
  <c r="F18" i="38"/>
  <c r="F15" i="38"/>
  <c r="F14" i="38"/>
  <c r="F12" i="38"/>
  <c r="F11" i="38"/>
  <c r="F10" i="38"/>
  <c r="F9" i="38"/>
  <c r="F8" i="38"/>
  <c r="A2" i="38"/>
  <c r="F20" i="37"/>
  <c r="F16" i="37"/>
  <c r="F64" i="38" l="1"/>
  <c r="D29" i="14" s="1"/>
  <c r="F125" i="38"/>
  <c r="F76" i="37"/>
  <c r="F99" i="37" s="1"/>
  <c r="F74" i="37"/>
  <c r="G31" i="37"/>
  <c r="G30" i="37"/>
  <c r="G27" i="37"/>
  <c r="G26" i="37"/>
  <c r="F12" i="37"/>
  <c r="F8" i="37"/>
  <c r="E45" i="35"/>
  <c r="F88" i="4"/>
  <c r="F87" i="4"/>
  <c r="F86" i="4"/>
  <c r="F85" i="4"/>
  <c r="F84" i="4"/>
  <c r="F83" i="4"/>
  <c r="F82" i="4"/>
  <c r="F81" i="4"/>
  <c r="F80" i="4"/>
  <c r="C188" i="7"/>
  <c r="C178" i="7"/>
  <c r="C168" i="7"/>
  <c r="C166" i="7"/>
  <c r="C140" i="7"/>
  <c r="C138" i="7"/>
  <c r="C136" i="7"/>
  <c r="C134" i="7"/>
  <c r="C128" i="7"/>
  <c r="F38" i="37" l="1"/>
  <c r="D19" i="14" s="1"/>
  <c r="C97" i="7"/>
  <c r="C85" i="7"/>
  <c r="C62" i="7"/>
  <c r="C52" i="7" l="1"/>
  <c r="C50" i="7"/>
  <c r="C36" i="7"/>
  <c r="C24" i="7"/>
  <c r="C22" i="7"/>
  <c r="C20" i="7"/>
  <c r="C18" i="7"/>
  <c r="C12" i="7" l="1"/>
  <c r="C10" i="7"/>
  <c r="C117" i="32"/>
  <c r="F117" i="32" s="1"/>
  <c r="C115" i="32"/>
  <c r="F115" i="32" s="1"/>
  <c r="F75" i="32"/>
  <c r="C73" i="32"/>
  <c r="F127" i="32"/>
  <c r="F126" i="32"/>
  <c r="F125" i="32"/>
  <c r="F123" i="32"/>
  <c r="F122" i="32"/>
  <c r="F121" i="32"/>
  <c r="F120" i="32"/>
  <c r="F119" i="32"/>
  <c r="F118" i="32"/>
  <c r="F116" i="32"/>
  <c r="F114" i="32"/>
  <c r="F113" i="32"/>
  <c r="F112" i="32"/>
  <c r="F111" i="32"/>
  <c r="F110" i="32"/>
  <c r="F109" i="32"/>
  <c r="F108" i="32"/>
  <c r="F107" i="32"/>
  <c r="F106" i="32"/>
  <c r="F105" i="32"/>
  <c r="F104" i="32"/>
  <c r="F103" i="32"/>
  <c r="F102" i="32"/>
  <c r="F101" i="32"/>
  <c r="F98" i="32"/>
  <c r="F97" i="32"/>
  <c r="F96" i="32"/>
  <c r="F95" i="32"/>
  <c r="F91" i="32"/>
  <c r="F89" i="32"/>
  <c r="F87" i="32"/>
  <c r="F85" i="32"/>
  <c r="F83" i="32"/>
  <c r="F81" i="32"/>
  <c r="F79" i="32"/>
  <c r="F78" i="32"/>
  <c r="F77" i="32"/>
  <c r="F74" i="32"/>
  <c r="F72" i="32"/>
  <c r="F71" i="32"/>
  <c r="F62" i="32"/>
  <c r="F63" i="32"/>
  <c r="F43" i="32"/>
  <c r="F44" i="32"/>
  <c r="F45" i="32"/>
  <c r="F46" i="32"/>
  <c r="F47" i="32"/>
  <c r="F48" i="32"/>
  <c r="C78" i="4"/>
  <c r="C74" i="4"/>
  <c r="F74" i="4" s="1"/>
  <c r="C68" i="4"/>
  <c r="C64" i="4"/>
  <c r="F64" i="4" s="1"/>
  <c r="F65" i="4"/>
  <c r="F66" i="4"/>
  <c r="F67" i="4"/>
  <c r="F68" i="4"/>
  <c r="F69" i="4"/>
  <c r="F70" i="4"/>
  <c r="F71" i="4"/>
  <c r="F72" i="4"/>
  <c r="F73" i="4"/>
  <c r="F75" i="4"/>
  <c r="F76" i="4"/>
  <c r="F77" i="4"/>
  <c r="F78" i="4"/>
  <c r="F79" i="4"/>
  <c r="F89" i="4"/>
  <c r="F90" i="4"/>
  <c r="F91" i="4"/>
  <c r="F92" i="4"/>
  <c r="F93" i="4"/>
  <c r="F94" i="4"/>
  <c r="C51" i="4"/>
  <c r="F51" i="4" s="1"/>
  <c r="C50" i="4"/>
  <c r="F50" i="4" s="1"/>
  <c r="C49" i="4"/>
  <c r="F49" i="4" s="1"/>
  <c r="C52" i="4"/>
  <c r="F52" i="4" s="1"/>
  <c r="C48" i="4"/>
  <c r="F48" i="4" s="1"/>
  <c r="C44" i="4"/>
  <c r="F44" i="4" s="1"/>
  <c r="C43" i="4"/>
  <c r="F43" i="4" s="1"/>
  <c r="C42" i="4"/>
  <c r="F42" i="4" s="1"/>
  <c r="C41" i="4"/>
  <c r="F41" i="4" s="1"/>
  <c r="F35" i="4"/>
  <c r="F36" i="4"/>
  <c r="F37" i="4"/>
  <c r="F38" i="4"/>
  <c r="F39" i="4"/>
  <c r="F45" i="4"/>
  <c r="F46" i="4"/>
  <c r="F47" i="4"/>
  <c r="F53" i="4"/>
  <c r="F54" i="4"/>
  <c r="C40" i="4"/>
  <c r="F40" i="4" s="1"/>
  <c r="C12" i="33"/>
  <c r="F12" i="33" s="1"/>
  <c r="C8" i="33"/>
  <c r="F8" i="33" s="1"/>
  <c r="F130" i="32" l="1"/>
  <c r="F57" i="4"/>
  <c r="F97" i="4"/>
  <c r="F38" i="33"/>
  <c r="D23" i="14" s="1"/>
  <c r="F73" i="32"/>
  <c r="C93" i="32"/>
  <c r="F93" i="32" s="1"/>
  <c r="F57" i="32"/>
  <c r="F58" i="32"/>
  <c r="F59" i="32"/>
  <c r="F60" i="32"/>
  <c r="F61" i="32"/>
  <c r="F25" i="4"/>
  <c r="F28" i="4"/>
  <c r="F29" i="4"/>
  <c r="F30" i="4"/>
  <c r="F31" i="4"/>
  <c r="F32" i="4"/>
  <c r="F33" i="4"/>
  <c r="F34" i="4"/>
  <c r="F41" i="32"/>
  <c r="F42" i="32"/>
  <c r="C18" i="6"/>
  <c r="F15" i="32"/>
  <c r="C16" i="32"/>
  <c r="C54" i="32"/>
  <c r="C52" i="32"/>
  <c r="D25" i="14" l="1"/>
  <c r="F16" i="32"/>
  <c r="J32" i="32"/>
  <c r="K32" i="32" s="1"/>
  <c r="L32" i="32" s="1"/>
  <c r="F33" i="32"/>
  <c r="F34" i="32"/>
  <c r="F37" i="32"/>
  <c r="F38" i="32"/>
  <c r="F66" i="32" s="1"/>
  <c r="D27" i="14" s="1"/>
  <c r="F39" i="32"/>
  <c r="F40" i="32"/>
  <c r="F49" i="32"/>
  <c r="F50" i="32"/>
  <c r="F51" i="32"/>
  <c r="F52" i="32"/>
  <c r="F53" i="32"/>
  <c r="F54" i="32"/>
  <c r="F55" i="32"/>
  <c r="F56" i="32"/>
  <c r="F8" i="32"/>
  <c r="F9" i="32"/>
  <c r="F11" i="32"/>
  <c r="C10" i="32"/>
  <c r="D66" i="35"/>
  <c r="F86" i="34"/>
  <c r="F10" i="32" l="1"/>
  <c r="J31" i="32"/>
  <c r="K31" i="32" s="1"/>
  <c r="L31" i="32" s="1"/>
  <c r="L34" i="32" s="1"/>
  <c r="C30" i="32"/>
  <c r="E14" i="35"/>
  <c r="C150" i="34"/>
  <c r="F150" i="34" s="1"/>
  <c r="C148" i="34"/>
  <c r="F148" i="34" s="1"/>
  <c r="C136" i="34"/>
  <c r="C144" i="34"/>
  <c r="F144" i="34" s="1"/>
  <c r="C142" i="34"/>
  <c r="C140" i="34"/>
  <c r="F140" i="34" s="1"/>
  <c r="H138" i="34"/>
  <c r="C112" i="34"/>
  <c r="F112" i="34" s="1"/>
  <c r="C108" i="34"/>
  <c r="F108" i="34" s="1"/>
  <c r="C98" i="34"/>
  <c r="F98" i="34" s="1"/>
  <c r="C94" i="34"/>
  <c r="F94" i="34" s="1"/>
  <c r="C82" i="34"/>
  <c r="F82" i="34" s="1"/>
  <c r="C76" i="34"/>
  <c r="F76" i="34" s="1"/>
  <c r="C58" i="34"/>
  <c r="F58" i="34" s="1"/>
  <c r="C64" i="34"/>
  <c r="F64" i="34" s="1"/>
  <c r="C36" i="34"/>
  <c r="F36" i="34" s="1"/>
  <c r="C32" i="34"/>
  <c r="F32" i="34" s="1"/>
  <c r="C14" i="34"/>
  <c r="F14" i="34" s="1"/>
  <c r="C10" i="34"/>
  <c r="F10" i="34" s="1"/>
  <c r="F24" i="4"/>
  <c r="F20" i="4"/>
  <c r="F14" i="4"/>
  <c r="F10" i="4"/>
  <c r="C138" i="34" l="1"/>
  <c r="F138" i="34" s="1"/>
  <c r="F136" i="34"/>
  <c r="C146" i="34"/>
  <c r="F146" i="34" s="1"/>
  <c r="F142" i="34"/>
  <c r="F84" i="6"/>
  <c r="F88" i="6"/>
  <c r="F82" i="6"/>
  <c r="F80" i="6"/>
  <c r="F78" i="6"/>
  <c r="F76" i="6"/>
  <c r="F74" i="6"/>
  <c r="F50" i="6"/>
  <c r="F22" i="6"/>
  <c r="F48" i="6"/>
  <c r="F20" i="6"/>
  <c r="F66" i="6"/>
  <c r="F32" i="6"/>
  <c r="C24" i="6"/>
  <c r="F92" i="6" l="1"/>
  <c r="C110" i="3"/>
  <c r="F110" i="3" s="1"/>
  <c r="C104" i="3"/>
  <c r="F104" i="3" s="1"/>
  <c r="C33" i="3"/>
  <c r="F33" i="3" s="1"/>
  <c r="C96" i="3"/>
  <c r="F96" i="3" s="1"/>
  <c r="C88" i="3"/>
  <c r="F88" i="3" s="1"/>
  <c r="C86" i="3"/>
  <c r="F86" i="3" s="1"/>
  <c r="C84" i="3"/>
  <c r="F84" i="3" s="1"/>
  <c r="C53" i="3"/>
  <c r="F53" i="3" s="1"/>
  <c r="C51" i="3"/>
  <c r="F51" i="3" s="1"/>
  <c r="C39" i="3"/>
  <c r="F39" i="3" s="1"/>
  <c r="C17" i="3"/>
  <c r="F17" i="3" s="1"/>
  <c r="C35" i="3"/>
  <c r="F35" i="3" s="1"/>
  <c r="C27" i="3"/>
  <c r="F27" i="3" s="1"/>
  <c r="C25" i="3"/>
  <c r="F25" i="3" s="1"/>
  <c r="C15" i="3"/>
  <c r="C13" i="3"/>
  <c r="F13" i="3" s="1"/>
  <c r="F15" i="3" l="1"/>
  <c r="C19" i="3"/>
  <c r="F19" i="3" s="1"/>
  <c r="C92" i="3"/>
  <c r="F92" i="3" s="1"/>
  <c r="C41" i="3"/>
  <c r="C112" i="3"/>
  <c r="C21" i="3"/>
  <c r="F21" i="3" s="1"/>
  <c r="C20" i="29"/>
  <c r="F10" i="29"/>
  <c r="C16" i="29"/>
  <c r="C18" i="29"/>
  <c r="C14" i="29"/>
  <c r="C32" i="29"/>
  <c r="B39" i="35"/>
  <c r="E39" i="35" s="1"/>
  <c r="C34" i="29"/>
  <c r="E13" i="35"/>
  <c r="F10" i="6"/>
  <c r="F11" i="6"/>
  <c r="F25" i="6"/>
  <c r="F27" i="6"/>
  <c r="F29" i="6"/>
  <c r="F31" i="6"/>
  <c r="F37" i="6"/>
  <c r="F38" i="6"/>
  <c r="F39" i="6"/>
  <c r="F40" i="6"/>
  <c r="F41" i="6"/>
  <c r="F43" i="6"/>
  <c r="F45" i="6"/>
  <c r="F49" i="6"/>
  <c r="F52" i="6"/>
  <c r="F53" i="6"/>
  <c r="F55" i="6"/>
  <c r="C54" i="6"/>
  <c r="F54" i="6" s="1"/>
  <c r="C56" i="6"/>
  <c r="F56" i="6" s="1"/>
  <c r="C42" i="6"/>
  <c r="F42" i="6" s="1"/>
  <c r="C28" i="6"/>
  <c r="F28" i="6" s="1"/>
  <c r="C26" i="6"/>
  <c r="F26" i="6" s="1"/>
  <c r="C12" i="6"/>
  <c r="B48" i="35"/>
  <c r="F112" i="3" l="1"/>
  <c r="C118" i="3"/>
  <c r="F118" i="3" s="1"/>
  <c r="F41" i="3"/>
  <c r="C47" i="3"/>
  <c r="F47" i="3" s="1"/>
  <c r="C64" i="6"/>
  <c r="F64" i="6" s="1"/>
  <c r="C46" i="6"/>
  <c r="C30" i="6"/>
  <c r="F30" i="6" s="1"/>
  <c r="C14" i="6"/>
  <c r="F14" i="6" s="1"/>
  <c r="C44" i="6" l="1"/>
  <c r="F44" i="6" s="1"/>
  <c r="F46" i="6"/>
  <c r="F84" i="29" l="1"/>
  <c r="F82" i="29" l="1"/>
  <c r="F80" i="29"/>
  <c r="F78" i="29"/>
  <c r="F76" i="29"/>
  <c r="F74" i="29"/>
  <c r="F72" i="29"/>
  <c r="F70" i="29"/>
  <c r="F68" i="29"/>
  <c r="F65" i="29" l="1"/>
  <c r="F61" i="29" l="1"/>
  <c r="F58" i="29"/>
  <c r="F56" i="29"/>
  <c r="F54" i="29"/>
  <c r="F50" i="29"/>
  <c r="F48" i="29"/>
  <c r="F46" i="29"/>
  <c r="G31" i="33" l="1"/>
  <c r="G30" i="33"/>
  <c r="G27" i="33"/>
  <c r="G26" i="33"/>
  <c r="F12" i="6" l="1"/>
  <c r="E17" i="35"/>
  <c r="F20" i="29" l="1"/>
  <c r="F18" i="29"/>
  <c r="E61" i="35" l="1"/>
  <c r="E58" i="35"/>
  <c r="E57" i="35"/>
  <c r="E56" i="35"/>
  <c r="E55" i="35"/>
  <c r="E54" i="35"/>
  <c r="E51" i="35"/>
  <c r="E50" i="35"/>
  <c r="E49" i="35"/>
  <c r="E48" i="35"/>
  <c r="E44" i="35"/>
  <c r="E43" i="35"/>
  <c r="E42" i="35"/>
  <c r="B38" i="35"/>
  <c r="E38" i="35" s="1"/>
  <c r="E35" i="35"/>
  <c r="E34" i="35"/>
  <c r="B33" i="35"/>
  <c r="E33" i="35" s="1"/>
  <c r="E32" i="35"/>
  <c r="E28" i="35"/>
  <c r="B26" i="35"/>
  <c r="E26" i="35" s="1"/>
  <c r="B25" i="35"/>
  <c r="E25" i="35" s="1"/>
  <c r="E24" i="35"/>
  <c r="E23" i="35"/>
  <c r="E22" i="35"/>
  <c r="E63" i="35" s="1"/>
  <c r="E21" i="35"/>
  <c r="E20" i="35"/>
  <c r="E19" i="35"/>
  <c r="B12" i="35"/>
  <c r="E12" i="35" s="1"/>
  <c r="E11" i="35"/>
  <c r="B10" i="35"/>
  <c r="E10" i="35" s="1"/>
  <c r="B9" i="35"/>
  <c r="E9" i="35" s="1"/>
  <c r="E8" i="35"/>
  <c r="E66" i="35" l="1"/>
  <c r="E65" i="35"/>
  <c r="D9" i="14"/>
  <c r="F16" i="29" l="1"/>
  <c r="F34" i="29"/>
  <c r="F32" i="29"/>
  <c r="A2" i="34"/>
  <c r="A2" i="14"/>
  <c r="A2" i="6"/>
  <c r="A2" i="3"/>
  <c r="A2" i="7"/>
  <c r="A2" i="4"/>
  <c r="F131" i="4"/>
  <c r="A2" i="35" l="1"/>
  <c r="A2" i="37"/>
  <c r="A2" i="33"/>
  <c r="F24" i="6" l="1"/>
  <c r="F166" i="4" l="1"/>
  <c r="F42" i="3"/>
  <c r="F55" i="4" l="1"/>
  <c r="F64" i="29" l="1"/>
  <c r="F32" i="32" l="1"/>
  <c r="F30" i="32"/>
  <c r="F28" i="32"/>
  <c r="F26" i="32"/>
  <c r="F24" i="32"/>
  <c r="F22" i="32"/>
  <c r="F20" i="32"/>
  <c r="F18" i="32"/>
  <c r="F14" i="32"/>
  <c r="F44" i="29" l="1"/>
  <c r="F52" i="29"/>
  <c r="F62" i="29"/>
  <c r="F6" i="29"/>
  <c r="F9" i="29"/>
  <c r="F12" i="29"/>
  <c r="F39" i="29" s="1"/>
  <c r="D11" i="14" s="1"/>
  <c r="F14" i="29"/>
  <c r="F76" i="33"/>
  <c r="F16" i="6"/>
  <c r="F59" i="6" s="1"/>
  <c r="D15" i="14" s="1"/>
  <c r="A2" i="32"/>
  <c r="F12" i="32"/>
  <c r="F63" i="6"/>
  <c r="F61" i="6"/>
  <c r="F111" i="29"/>
  <c r="F144" i="3"/>
  <c r="F117" i="3"/>
  <c r="F169" i="4"/>
  <c r="C39" i="14" l="1"/>
  <c r="C41" i="14"/>
  <c r="D33" i="14"/>
  <c r="D35" i="14" s="1"/>
  <c r="F95" i="29"/>
  <c r="F87" i="29"/>
  <c r="F97" i="29" s="1"/>
  <c r="F74" i="33"/>
  <c r="F211" i="4"/>
  <c r="F134" i="4"/>
  <c r="F243" i="4"/>
  <c r="F99" i="33" l="1"/>
  <c r="F274" i="4"/>
  <c r="F112" i="29"/>
  <c r="D46" i="14" l="1"/>
</calcChain>
</file>

<file path=xl/sharedStrings.xml><?xml version="1.0" encoding="utf-8"?>
<sst xmlns="http://schemas.openxmlformats.org/spreadsheetml/2006/main" count="1588" uniqueCount="544">
  <si>
    <t>SECTION 1 - PRELIMINARIES</t>
  </si>
  <si>
    <t>SUMMARY</t>
  </si>
  <si>
    <t>Page Nr</t>
  </si>
  <si>
    <t>CARRIED TO FORM OF TENDER</t>
  </si>
  <si>
    <t>M</t>
  </si>
  <si>
    <t>SECTION 3</t>
  </si>
  <si>
    <t>SECTION 4</t>
  </si>
  <si>
    <t>SECTION 5</t>
  </si>
  <si>
    <t>SECTION 6</t>
  </si>
  <si>
    <t>A</t>
  </si>
  <si>
    <t>B</t>
  </si>
  <si>
    <t>C</t>
  </si>
  <si>
    <t>D</t>
  </si>
  <si>
    <t>E</t>
  </si>
  <si>
    <t>F</t>
  </si>
  <si>
    <t>G</t>
  </si>
  <si>
    <t>H</t>
  </si>
  <si>
    <t>J</t>
  </si>
  <si>
    <t>K</t>
  </si>
  <si>
    <t>L</t>
  </si>
  <si>
    <t>£</t>
  </si>
  <si>
    <t>To Main Summary          £</t>
  </si>
  <si>
    <t>Description</t>
  </si>
  <si>
    <t>Unit</t>
  </si>
  <si>
    <t>Rate</t>
  </si>
  <si>
    <t>Total</t>
  </si>
  <si>
    <t>Quantity</t>
  </si>
  <si>
    <t>To collection</t>
  </si>
  <si>
    <t>Collection</t>
  </si>
  <si>
    <t>nr</t>
  </si>
  <si>
    <t>m</t>
  </si>
  <si>
    <t>item</t>
  </si>
  <si>
    <t xml:space="preserve"> </t>
  </si>
  <si>
    <t>I</t>
  </si>
  <si>
    <t>SECTION 2</t>
  </si>
  <si>
    <t>Page 2/1</t>
  </si>
  <si>
    <t>Page 2/2</t>
  </si>
  <si>
    <t>N</t>
  </si>
  <si>
    <t>SECTION 7</t>
  </si>
  <si>
    <t>SECTION 9</t>
  </si>
  <si>
    <t>Ceilings</t>
  </si>
  <si>
    <t>Sub total</t>
  </si>
  <si>
    <t>m2</t>
  </si>
  <si>
    <t>PRELIMINARIES</t>
  </si>
  <si>
    <t>Contract period</t>
  </si>
  <si>
    <t>wks</t>
  </si>
  <si>
    <t>Supervision &amp; Labour</t>
  </si>
  <si>
    <t>Contracts Manager (1.5 day/week)</t>
  </si>
  <si>
    <t>Site Manager</t>
  </si>
  <si>
    <t>Quantity Surveyor (1.5 day/week)</t>
  </si>
  <si>
    <t>PS</t>
  </si>
  <si>
    <t>Excluded</t>
  </si>
  <si>
    <t>Labourer</t>
  </si>
  <si>
    <t>Site Offices, Compound &amp; Security</t>
  </si>
  <si>
    <t>Site office/meeting room &amp; steps</t>
  </si>
  <si>
    <t>Container</t>
  </si>
  <si>
    <t>Site toilet</t>
  </si>
  <si>
    <t>Connect site offices and welfare to power and water</t>
  </si>
  <si>
    <t>IT equipment, printing, etc.</t>
  </si>
  <si>
    <t>Welfare equipment/tea &amp; coffee, etc.</t>
  </si>
  <si>
    <t>Temp. fencing &amp; barriers</t>
  </si>
  <si>
    <t xml:space="preserve">Hardstanding for laydown, turning areas, maintain and reinstate </t>
  </si>
  <si>
    <t>Temporary Site Services</t>
  </si>
  <si>
    <t xml:space="preserve">Supply &amp; install lighting/power </t>
  </si>
  <si>
    <t>Telephone and internet</t>
  </si>
  <si>
    <t>Water connection and supply</t>
  </si>
  <si>
    <t>Temporary heating and drying</t>
  </si>
  <si>
    <t>Plant, Tools &amp; Equipment</t>
  </si>
  <si>
    <t>Small Tools</t>
  </si>
  <si>
    <t>Scaffolding and Access Equipment</t>
  </si>
  <si>
    <t>Allowance for adaptations</t>
  </si>
  <si>
    <t>Alloy towers, hop-ups, trestles &amp; specialist internal access</t>
  </si>
  <si>
    <t>Clearance &amp; Cleaning</t>
  </si>
  <si>
    <t>Clear rubbish from site - 12 yard skips</t>
  </si>
  <si>
    <t>Temporary protection</t>
  </si>
  <si>
    <t>Final contractors site clean (builders clean &amp; sparkle clean)</t>
  </si>
  <si>
    <t>External window clean</t>
  </si>
  <si>
    <t>Sundries &amp; Safety</t>
  </si>
  <si>
    <t>Health &amp; Safety site set up, signs etc</t>
  </si>
  <si>
    <t>Health &amp; safety - site inspections</t>
  </si>
  <si>
    <t>Fire Risk Management Plan, fire points, etc.</t>
  </si>
  <si>
    <t>O&amp;M/Building Manual</t>
  </si>
  <si>
    <t>PPE</t>
  </si>
  <si>
    <t>Insurances</t>
  </si>
  <si>
    <t>Ref.</t>
  </si>
  <si>
    <t>General Assumption/Clarification</t>
  </si>
  <si>
    <t>These assumptions &amp; clarifications are to be read in conjunction with those within each tab of the work schedule</t>
  </si>
  <si>
    <t>We note the site is served by power, water and telecoms and assume we will be able to connect to these services and have beneficial use during the works</t>
  </si>
  <si>
    <t>We have assumed that any potential habitat/ecology issues, such as bats, badgers, tree protection, etc., will not have a detrimental effect on programme</t>
  </si>
  <si>
    <t>We have made no allowance for any making good of the highway, surfaces, verges, fencing, etc., leading to site, and do not accept any responsibility for any damage caused during the progress of the works</t>
  </si>
  <si>
    <t>We will require the early payment of any supplier deposits/stage payments, etc., as per their terms to ensure the smooth running of the project. We will try to time these payments to suit valuation dates, but in some instances it may require an interim payment. We are happy to investigate Vesting as required</t>
  </si>
  <si>
    <t>We have assumed that all directly employed/nominated suppliers can meet the dates required within our programme, and any delay caused or due to any directly employed/nominated suppliers will be subject to additional time and/or cost</t>
  </si>
  <si>
    <t>Any prices/rates marked as provisional will be subject to change up to the point that costs/programme implications are agreed</t>
  </si>
  <si>
    <t>Any provisional sums are exclusive of OHP</t>
  </si>
  <si>
    <t>Should asbestos be discovered during the works, any programme and/or costs associated with the direct removal and associated impacts remain the risk of the Employer</t>
  </si>
  <si>
    <t>We have made no allowance for any surveys, ongoing monitoring or any damage caused to neighbouring properties during the works, and this remains the risk of the Employer</t>
  </si>
  <si>
    <t>Should there be any issues/disputes with neighbours that impacts our ability to progress the works, this will remain the risk of the Employer</t>
  </si>
  <si>
    <t>Should any global/UK supply chain issues/availability of specified materials/products have any impact on our programme and/or an impact on cost, this will remain the risk of the Employer</t>
  </si>
  <si>
    <t xml:space="preserve">We have made no allowance in our programme for non-working time due to any Employer requested noise abatement issues. We have assumed uninterrupted working </t>
  </si>
  <si>
    <t>We have made no allowance in our programme for any early Employer access to any areas. We have assumed single handover with no staged handovers/completions</t>
  </si>
  <si>
    <t>We have assumed vacant possession and uninterrupted access to the site at all times</t>
  </si>
  <si>
    <t>Temporary Works Design - done by Structural engineer</t>
  </si>
  <si>
    <t>Formation of site office and welfare area in basement including dismantling when works to basement due to commence</t>
  </si>
  <si>
    <t xml:space="preserve">Welfare unit </t>
  </si>
  <si>
    <t>Delivery and collection of all site offices, welfare unit, toilets and container</t>
  </si>
  <si>
    <t>O</t>
  </si>
  <si>
    <t>P</t>
  </si>
  <si>
    <t>Q</t>
  </si>
  <si>
    <t>R</t>
  </si>
  <si>
    <t>S</t>
  </si>
  <si>
    <t>T</t>
  </si>
  <si>
    <t>U</t>
  </si>
  <si>
    <t>V</t>
  </si>
  <si>
    <t>We agree the use of JCT ICD 2016 unamended (except for retention to be at 3%) is appropriate for this project</t>
  </si>
  <si>
    <t>The Former Police Station, Haslingden</t>
  </si>
  <si>
    <t>Cost per month</t>
  </si>
  <si>
    <t>Cost per week</t>
  </si>
  <si>
    <t>General Assumptions &amp; Clarifications (to be read in conjunction with those within each tab of the work schedule)</t>
  </si>
  <si>
    <t>Comments</t>
  </si>
  <si>
    <t>Add overheads and profit</t>
  </si>
  <si>
    <t>External Façade</t>
  </si>
  <si>
    <t>EXTERNAL FAÇADE</t>
  </si>
  <si>
    <t>BLOCK A</t>
  </si>
  <si>
    <t>DPC / Cavity trays required</t>
  </si>
  <si>
    <t xml:space="preserve">I </t>
  </si>
  <si>
    <t>BLOCK B</t>
  </si>
  <si>
    <t>SECTION 2 - PLOT GROUNDWORKS</t>
  </si>
  <si>
    <t>Plot Groundworks</t>
  </si>
  <si>
    <t>PLOT GROUNDWORKS</t>
  </si>
  <si>
    <t>Security</t>
  </si>
  <si>
    <t>Forklift Driver</t>
  </si>
  <si>
    <t>Scaffolding to Compound</t>
  </si>
  <si>
    <t>Supply &amp; installation of 150mm block &amp; beam flooring to semi detatched unit (Block B)</t>
  </si>
  <si>
    <t xml:space="preserve">Facing bricks to DPC (Bradstone) </t>
  </si>
  <si>
    <t>Telescopic vents and air bricks</t>
  </si>
  <si>
    <t>Concrete cavity fill</t>
  </si>
  <si>
    <t>m3</t>
  </si>
  <si>
    <t>no</t>
  </si>
  <si>
    <t>Block B</t>
  </si>
  <si>
    <t>Block A</t>
  </si>
  <si>
    <t>Supply &amp; installation of 150mm block &amp; beam flooring to semi detatched unit (Block A)</t>
  </si>
  <si>
    <t>Supply and lay blockwork to support screed</t>
  </si>
  <si>
    <t>Forklift hire</t>
  </si>
  <si>
    <t>DRYLINING, SCREED</t>
  </si>
  <si>
    <t>RENDER</t>
  </si>
  <si>
    <t>75mm sand and cement screed laid on 150mm PIR Kingspan Thermafloor TF70 insulation, Gas Radon DPM.</t>
  </si>
  <si>
    <t>1no layer of 15mm wallboard</t>
  </si>
  <si>
    <t>1no layer of 15mm fireline wallboard</t>
  </si>
  <si>
    <t>Skeilings - 120mm Kooltherm K107, 82.5mm Kooltherm K118 Insulated Board</t>
  </si>
  <si>
    <t xml:space="preserve">E </t>
  </si>
  <si>
    <t>EO moisture board</t>
  </si>
  <si>
    <t>EO Skim Finish</t>
  </si>
  <si>
    <t xml:space="preserve">Walls </t>
  </si>
  <si>
    <t>Dot &amp; dab external walls</t>
  </si>
  <si>
    <t>Dot &amp; dab internal blockwork walls</t>
  </si>
  <si>
    <t>Metal partitions - 12.5mm Board, 50mm Gyplyner, 12.5mm board</t>
  </si>
  <si>
    <t>Timber partitions - 12.5mm Board, 89 Timber Stud(by Others), 12.5mm board</t>
  </si>
  <si>
    <t>Timber Partitions with Insulation - 12.5mm Board, 89 Timber Stud(by Others), 50mm Isover, 12.5mm board</t>
  </si>
  <si>
    <t>Timber Partitions (Dwarf Walls) - 12.5mm Board, 89 Timber Stud(by Others), 50mm Isover, 12.5mm board</t>
  </si>
  <si>
    <t>Eo Ply patressing</t>
  </si>
  <si>
    <t xml:space="preserve">Eo moisture board </t>
  </si>
  <si>
    <t>Eo tape &amp; joint</t>
  </si>
  <si>
    <t>Eo Skim</t>
  </si>
  <si>
    <t xml:space="preserve">Insulation </t>
  </si>
  <si>
    <t>200mm APR 1200mm to floor zone</t>
  </si>
  <si>
    <t>Roof space - 500mm loft roll</t>
  </si>
  <si>
    <t>Boxings / Misc</t>
  </si>
  <si>
    <t>SVPS cw Access Panels</t>
  </si>
  <si>
    <t>GF</t>
  </si>
  <si>
    <t>FF</t>
  </si>
  <si>
    <t>Bulkheads to stairs</t>
  </si>
  <si>
    <t>Bathroom Full Height Boxings</t>
  </si>
  <si>
    <t xml:space="preserve">Bathroom Niches - 200mm x 200mm </t>
  </si>
  <si>
    <t>Rooflights Reveals</t>
  </si>
  <si>
    <t>Making Good</t>
  </si>
  <si>
    <t>Render</t>
  </si>
  <si>
    <t>Monocouche Weberpral M - Chalk</t>
  </si>
  <si>
    <t>Metal partitions with insulation - 12.5mm Board, 50mm Gyplyner, 50mm Isover, 12.5mm board</t>
  </si>
  <si>
    <t>CARPENTRY</t>
  </si>
  <si>
    <t>Externals</t>
  </si>
  <si>
    <t>Easi joist floor system at 400mm centers including 22mm T&amp;G chipboard decking incl trimming out, temp bracing &amp; perimeter noggins</t>
  </si>
  <si>
    <t>Fixing of cavity formers</t>
  </si>
  <si>
    <t>Type A - 1507 x 797mm</t>
  </si>
  <si>
    <t>Type B - 1507 x 797mm w obscure glazing</t>
  </si>
  <si>
    <t>Type C - 1347 x 797mm w obscure glazing</t>
  </si>
  <si>
    <t>Type D - 1585 x 1360mm</t>
  </si>
  <si>
    <t>Type E - 1023 x 1110mm</t>
  </si>
  <si>
    <t>Type F - 1810 x 2110mm</t>
  </si>
  <si>
    <t>Type G - 1023 x 1110mm</t>
  </si>
  <si>
    <t>Windows - colour to be dark grey, supply and install</t>
  </si>
  <si>
    <t>Patio doors - colour to be dark grey, supply and install</t>
  </si>
  <si>
    <t>W</t>
  </si>
  <si>
    <t>X</t>
  </si>
  <si>
    <t>Y</t>
  </si>
  <si>
    <t>Z</t>
  </si>
  <si>
    <t>AA</t>
  </si>
  <si>
    <t>AB</t>
  </si>
  <si>
    <t>AC</t>
  </si>
  <si>
    <t>AD</t>
  </si>
  <si>
    <t>AE</t>
  </si>
  <si>
    <t>AF</t>
  </si>
  <si>
    <t>AG</t>
  </si>
  <si>
    <t>AH</t>
  </si>
  <si>
    <t>AI</t>
  </si>
  <si>
    <t>AJ</t>
  </si>
  <si>
    <t>AK</t>
  </si>
  <si>
    <t>Cut &amp; fix wall / pole plate (including halving joints where required).</t>
  </si>
  <si>
    <t>Attic trusses inc all fixings</t>
  </si>
  <si>
    <t>Fix 100 x 25mm longitudinal bracing to trusses (no detail, assummed)</t>
  </si>
  <si>
    <t>plot</t>
  </si>
  <si>
    <t>Install lateral restraint straps (on support noggins).</t>
  </si>
  <si>
    <t>Cut &amp; fix UPVC fascia board.</t>
  </si>
  <si>
    <t>Cut &amp; fix bargeboard</t>
  </si>
  <si>
    <t>Cut &amp; fix UPVC soffit.</t>
  </si>
  <si>
    <t>Fix Velux Window</t>
  </si>
  <si>
    <t>each</t>
  </si>
  <si>
    <t>1st Fix</t>
  </si>
  <si>
    <t>Cut protection panels from 9mm plywood for bath &amp; shower tray (hand to plumber for installation).</t>
  </si>
  <si>
    <t>set</t>
  </si>
  <si>
    <t>Cut &amp; fix window board (mdf, pre formed) (brackets supplied by Client) (window to be fitted with receiver groove by others).</t>
  </si>
  <si>
    <t>Application of free-issue expanding foam to void below window cill.</t>
  </si>
  <si>
    <t>Removal of sacraficial joists, hangers, flooring &amp; access hatch to stairwell prior to stair installation.</t>
  </si>
  <si>
    <t>floor</t>
  </si>
  <si>
    <t>Install pre-assembled sw stair case (kite top &amp; bottom) (full assembly &amp; installation inclusive of string mounted newel posts, framing to support base of stair case &amp; "T" bar support to rear of 1st riser).</t>
  </si>
  <si>
    <t>Install temporary handrail to stair perimeter.</t>
  </si>
  <si>
    <t>Application of protection to staircase (materials provided by Client).</t>
  </si>
  <si>
    <t>Cut and fit 38x68mm soleplate, header and mid supporting rail</t>
  </si>
  <si>
    <t>Partitions for above set at 600mm cts</t>
  </si>
  <si>
    <t>Noggins and pattressing to partitions for other trades (average of 15no. Per plot).</t>
  </si>
  <si>
    <t>Cut out &amp; form a 'letter box' aperture within the 2nd floor to enable sheet materials to be distributed from the 1st to 2nd floors.</t>
  </si>
  <si>
    <t>Install support noggins &amp; replace flooring to 'letter box' aperture following completion of loading out phase.</t>
  </si>
  <si>
    <t>2nd Fix</t>
  </si>
  <si>
    <t>Cut &amp; fix skirting board (nailed &amp; bonded, excluding full height window / patio door positions).</t>
  </si>
  <si>
    <t>Fix internal door lining to partition</t>
  </si>
  <si>
    <t>Fix MDF door stop set to door lining.</t>
  </si>
  <si>
    <t>Cut and fix architrave (both sides)</t>
  </si>
  <si>
    <t>Hang internal doors.</t>
  </si>
  <si>
    <t>Cut down doors for carpet clearance at 2nd fix stage (linings supplied with 15-20mm tolerance as standard).</t>
  </si>
  <si>
    <t>Install standard butt hinge (3no. Per door leaf).</t>
  </si>
  <si>
    <t>Cut out for &amp; fit privacy mortise lock (if required).</t>
  </si>
  <si>
    <t>Make &amp; fit slatted shelving &amp; supports to airing cupboard 2no. per unit.</t>
  </si>
  <si>
    <t>Cut &amp; fix pre-fabricated balustrade panels to softwood staircases (inclusive of handrail).</t>
  </si>
  <si>
    <t>Cut &amp; fix wall mounted "pigs ear" handrail to outer wall of staircases.</t>
  </si>
  <si>
    <t>Final Fix</t>
  </si>
  <si>
    <t>Fit lever handles to FED &amp; secondary door multi point lock.</t>
  </si>
  <si>
    <t>Fit security door chain to FED.</t>
  </si>
  <si>
    <t>Fit door numerals to FED.</t>
  </si>
  <si>
    <t>Fit lever handles to internal doors (1no. pair allocated to single doors only).</t>
  </si>
  <si>
    <t>Fit privacy handles to bathrooms, en-suites &amp; WC's.</t>
  </si>
  <si>
    <t>Fit skirting &amp; floor mounted door buffer stops.</t>
  </si>
  <si>
    <t>Snagging</t>
  </si>
  <si>
    <t>Low level roofs and porches</t>
  </si>
  <si>
    <t>Construct Lean to Timber Door Canopy, ready to be tiled by others,100xm38mm sw rafters, 220x75mm sw bearer @ 5.4m long</t>
  </si>
  <si>
    <t>AL</t>
  </si>
  <si>
    <t>AM</t>
  </si>
  <si>
    <t>AN</t>
  </si>
  <si>
    <t>AO</t>
  </si>
  <si>
    <t>AP</t>
  </si>
  <si>
    <t>AQ</t>
  </si>
  <si>
    <t>AR</t>
  </si>
  <si>
    <t>AS</t>
  </si>
  <si>
    <t>AT</t>
  </si>
  <si>
    <t>AU</t>
  </si>
  <si>
    <t>AV</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</si>
  <si>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</si>
  <si>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</si>
  <si>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</si>
  <si>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</si>
  <si>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</si>
  <si>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</si>
  <si>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</si>
  <si>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</si>
  <si>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</si>
  <si>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</si>
  <si>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</si>
  <si>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</si>
  <si>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</si>
  <si>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</si>
  <si>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</si>
  <si>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</si>
  <si>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</si>
  <si>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</si>
  <si>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</si>
  <si>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</si>
  <si>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</si>
  <si>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</si>
  <si>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</si>
  <si>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</si>
  <si>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</si>
  <si>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</si>
  <si>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</si>
  <si>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</si>
  <si>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</si>
  <si>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</si>
  <si>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</si>
  <si>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</si>
  <si>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</si>
  <si>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</si>
  <si>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</si>
  <si>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</si>
  <si>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</si>
  <si>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DECORATION</t>
  </si>
  <si>
    <t>£/SQFT</t>
  </si>
  <si>
    <t xml:space="preserve">Assumed no colours or wallpapering, no coving or any other ornate details. Assumed timeless white to both walls and ceilings. </t>
  </si>
  <si>
    <t>&amp; OTHER FINISHING TRADES</t>
  </si>
  <si>
    <t xml:space="preserve">Decoration, emulsion to walls and ceilings with glosswork for all internal woodwork. </t>
  </si>
  <si>
    <t xml:space="preserve">Assumed no colours or wallpapering, no coving or any other ornate details. Assumed dulux timeless white to both walls and ceilings. </t>
  </si>
  <si>
    <t>Decoration</t>
  </si>
  <si>
    <t>Mastic</t>
  </si>
  <si>
    <t xml:space="preserve">Mastic works to internal floor junctions for tiled / laminate flooring, internal window frames, junction between wall tiling and wall, kitchen worktop corner junction between wall tiling. Externals - around window frames, meter box, movement joints, porches (where required) </t>
  </si>
  <si>
    <t>EXTERNAL GROUNDWORKS</t>
  </si>
  <si>
    <t>Off site works</t>
  </si>
  <si>
    <t>Footpath Crossover detail - Manchester road</t>
  </si>
  <si>
    <t xml:space="preserve">Existing footway to be excavated and arisings removed from site to accommodate new kerb lines. Assumed depth of 500mm. </t>
  </si>
  <si>
    <t>300mm subbase type 1 stone</t>
  </si>
  <si>
    <t>70mm base course - material 20mm DBM road base</t>
  </si>
  <si>
    <t>70mm binder course - material AC20 dense bin binder grade 100/150</t>
  </si>
  <si>
    <t>40mm wearing course - material SMF 10 surf binder grade 40/60 or PMB</t>
  </si>
  <si>
    <t>New radius kerb line required, 125mm upstand</t>
  </si>
  <si>
    <t xml:space="preserve">Tactile paving required to crossing point </t>
  </si>
  <si>
    <t>Actual extent of surfacing required unknown, assumptions made. M2 is provisinal and subject to remeasure upon confirmation. Assumed local authority will not allow patching of tarmac to new kerb line.</t>
  </si>
  <si>
    <t>White lining</t>
  </si>
  <si>
    <t>Footpath Crossover detail - Hazeldene Avenue</t>
  </si>
  <si>
    <t xml:space="preserve">Removal of exisitng kerbline and footpath to tie in revised makeup, removal off site. </t>
  </si>
  <si>
    <t>New straight kerb line required, 125mm upstand</t>
  </si>
  <si>
    <t xml:space="preserve">Carpark </t>
  </si>
  <si>
    <t>Tarmac with green chippings</t>
  </si>
  <si>
    <t xml:space="preserve">With limited proposed and existing level info this is made as an assumption at this stage. To be remeasured at a later stage. </t>
  </si>
  <si>
    <t>Well consolidated hardcore 150mm thick</t>
  </si>
  <si>
    <t xml:space="preserve">Excavate to reduced levels, cart off site for disposal. Bulking factor assumed at 1.3 </t>
  </si>
  <si>
    <t>100mm dense macadam base course</t>
  </si>
  <si>
    <t>Tarmac with red chippings</t>
  </si>
  <si>
    <t>Pedestrian Footpath</t>
  </si>
  <si>
    <t xml:space="preserve">Sub base 100mm thick type 1 </t>
  </si>
  <si>
    <t xml:space="preserve">Base course - 40mm thick open graded macadam </t>
  </si>
  <si>
    <t>wearing course - 20mm thick medium graded macadam</t>
  </si>
  <si>
    <t>Paving Slabs</t>
  </si>
  <si>
    <t>150mm hardcore bed</t>
  </si>
  <si>
    <t>450 x 450mm Saxon paving slabs on continuous mortar bed</t>
  </si>
  <si>
    <t>Kerbs</t>
  </si>
  <si>
    <t>Grade, shape and level</t>
  </si>
  <si>
    <t>Terram</t>
  </si>
  <si>
    <t xml:space="preserve">Temp kerb race, including removal and disposal </t>
  </si>
  <si>
    <t>PCC HB2 125mm upstand kerb</t>
  </si>
  <si>
    <t>PCC edging</t>
  </si>
  <si>
    <t>Screen wall foundations</t>
  </si>
  <si>
    <t>Setting out</t>
  </si>
  <si>
    <t>Excavate trenches for foundations</t>
  </si>
  <si>
    <t xml:space="preserve">Surplus material carted away </t>
  </si>
  <si>
    <t>Level &amp; compact</t>
  </si>
  <si>
    <t>Concrete in foundations - FND2</t>
  </si>
  <si>
    <t xml:space="preserve">Mesh not allowed, no details provided. </t>
  </si>
  <si>
    <t>Tamp surface of concrete</t>
  </si>
  <si>
    <t>100mm concrete blocks in founds - 7N 215mm wide</t>
  </si>
  <si>
    <t>Earthwork support</t>
  </si>
  <si>
    <t>Base for cycle sheds</t>
  </si>
  <si>
    <t>Shed base</t>
  </si>
  <si>
    <t>Topsoiling to landscaped areas</t>
  </si>
  <si>
    <t>Import, spread and level 400mm topsoil to landscaped areas.</t>
  </si>
  <si>
    <t>Topsoiling to front and rear gardens</t>
  </si>
  <si>
    <t>Import, spread and level 100mm topsoil to seeded / turfed areas.</t>
  </si>
  <si>
    <t>Plot clearance works prior to topsoiling</t>
  </si>
  <si>
    <t>Excavate trench for pipes 150mm dia</t>
  </si>
  <si>
    <t>N.E. 1500mm deep</t>
  </si>
  <si>
    <t>E.O. Excavation for backfilling with stone/crushed concrete</t>
  </si>
  <si>
    <t>Pea Shingle bed &amp; surround</t>
  </si>
  <si>
    <t>150mm dia pipe</t>
  </si>
  <si>
    <t>Pipes in trench &amp; fittings</t>
  </si>
  <si>
    <t>E.O. Conncrete to existing manhole</t>
  </si>
  <si>
    <t>Storm Drainage</t>
  </si>
  <si>
    <t>200mm wide ACO road channel</t>
  </si>
  <si>
    <t>Yard gulley</t>
  </si>
  <si>
    <t>900mm dia PCC manholes</t>
  </si>
  <si>
    <t>PPIC manhole ne 1000mm deep</t>
  </si>
  <si>
    <t>RWP Connections</t>
  </si>
  <si>
    <t>Rest bends</t>
  </si>
  <si>
    <t>Rodding eyes</t>
  </si>
  <si>
    <t>Part M threshold drain</t>
  </si>
  <si>
    <t>Equal junctions</t>
  </si>
  <si>
    <t>Foul Drainage</t>
  </si>
  <si>
    <t xml:space="preserve">Assumed that foul drainage will be taken to AC1 which is the existing manhole on site. Any further works beyond this will have to be considered. </t>
  </si>
  <si>
    <t>Excavate trench for pipes 100mm dia</t>
  </si>
  <si>
    <t>100mm dia pipe</t>
  </si>
  <si>
    <t>100mm pipe in trench</t>
  </si>
  <si>
    <t>150mm pipe in trench</t>
  </si>
  <si>
    <t>Manholes PPIC ne 1000m deep</t>
  </si>
  <si>
    <t>SVP Connections</t>
  </si>
  <si>
    <t>Intersection (100 off 100)</t>
  </si>
  <si>
    <t>Intersection (150 off 100)</t>
  </si>
  <si>
    <t xml:space="preserve">Assumed the desired level has already been reached, no excavation required. </t>
  </si>
  <si>
    <t xml:space="preserve">Services </t>
  </si>
  <si>
    <t>Gas</t>
  </si>
  <si>
    <t>N/A - assumed utilities company will take supply to the mater of each property including reinstatement, quote ref DAWAL14-BB46QW</t>
  </si>
  <si>
    <t>Water - PC Sum 10m per plot</t>
  </si>
  <si>
    <t>Electric - no drawing provided  - PC Sum 10m per plot</t>
  </si>
  <si>
    <t>BT Boxes</t>
  </si>
  <si>
    <t>BT Duct</t>
  </si>
  <si>
    <t>Scaffold Bases</t>
  </si>
  <si>
    <t>150mm deep x 2m hardcore/ type 1 scaffold base</t>
  </si>
  <si>
    <t>Sweep tack &amp; coat</t>
  </si>
  <si>
    <t>Installation of radon DPC, lapped and taped to DPM</t>
  </si>
  <si>
    <t>Installation of 100m bradstone or similar bed coursed artificial stone above DPC</t>
  </si>
  <si>
    <t xml:space="preserve">Installation of 125mm cavity partially filled with 75mm Kingspan TW Thermawall cavity board </t>
  </si>
  <si>
    <t>Installation of 100mm concrete blockwork to inner leaf above DPC</t>
  </si>
  <si>
    <t>Installation of 100mm concrete blocks to party wall including gable, lightweight aggregate blocks</t>
  </si>
  <si>
    <t>Installation of 100mm Isover RD Party Wall Insulation</t>
  </si>
  <si>
    <t>Installation of 100mm concrete blockwork to outer leaf to rendered sections including any bed joint reinforcement required</t>
  </si>
  <si>
    <t xml:space="preserve">Installation of steel lintels </t>
  </si>
  <si>
    <t xml:space="preserve">Installation of Ashlar stone heads and cills </t>
  </si>
  <si>
    <t>MATERIALS</t>
  </si>
  <si>
    <t xml:space="preserve">Radon DPC </t>
  </si>
  <si>
    <t>100m bradstone or similar bed coursed artificial stone above DPC</t>
  </si>
  <si>
    <t xml:space="preserve">75mm Kingspan TW Thermawall cavity board </t>
  </si>
  <si>
    <t>100mm concrete blockwork to inner leaf above DPC</t>
  </si>
  <si>
    <t>100mm concrete blocks to party wall including gable, lightweight aggregate blocks</t>
  </si>
  <si>
    <t>100mm Isover RD Party Wall Insulation</t>
  </si>
  <si>
    <t>100mm concrete blockwork to outer leaf to rendered sections including any bed joint reinforcement required</t>
  </si>
  <si>
    <t xml:space="preserve">Steel lintels </t>
  </si>
  <si>
    <t xml:space="preserve">Ashlar stone heads and cills </t>
  </si>
  <si>
    <t>DPC / Cavity Trays</t>
  </si>
  <si>
    <t>Mortar</t>
  </si>
  <si>
    <t>Cavity Formers</t>
  </si>
  <si>
    <t>Attic Trusses</t>
  </si>
  <si>
    <t>Misc brickwork sundries</t>
  </si>
  <si>
    <t>Fascia, Soffit &amp; bargeboard</t>
  </si>
  <si>
    <t>Staircases</t>
  </si>
  <si>
    <t>1st fix timbers</t>
  </si>
  <si>
    <t>Internal doors - FD20</t>
  </si>
  <si>
    <t>Internal doors - std</t>
  </si>
  <si>
    <t>2nd fix timbers</t>
  </si>
  <si>
    <t>plots</t>
  </si>
  <si>
    <t>100mm blockwork to internal walls</t>
  </si>
  <si>
    <t>Installation of 100mm blockwork to internal walls</t>
  </si>
  <si>
    <t>Misc Joinery Sundries</t>
  </si>
  <si>
    <t>No allowance for granite unless otherwise specified.  Appliances allowed from the Bosch group. Oven, hob, extractor, FF, Dishwasher &amp; washing machine</t>
  </si>
  <si>
    <t xml:space="preserve">Vertical 5 paneled primed, to be painted white on site. </t>
  </si>
  <si>
    <t xml:space="preserve">Standard penceil round skirting and architrave to come primed and glossed on site. </t>
  </si>
  <si>
    <t>Front door</t>
  </si>
  <si>
    <t>items</t>
  </si>
  <si>
    <t>Including pre assembled ballustrade and handrail</t>
  </si>
  <si>
    <t>ROOF COVERINGS</t>
  </si>
  <si>
    <t xml:space="preserve">Main roofs and canopies - Sobrano brazilian grey / green natural slate. Battened out to the appropriate gauge and fixed to a breather membrane. To include all ridge and verge operations as well as leadwork where required. Porches to be smaller format tiles. </t>
  </si>
  <si>
    <t>Kitchens</t>
  </si>
  <si>
    <t>Wall tiling</t>
  </si>
  <si>
    <t>WC - half height around sanitaryware walls, 2 sides</t>
  </si>
  <si>
    <t xml:space="preserve">Tiling spec to be from the basic range from Porcelonsa. </t>
  </si>
  <si>
    <t>Bathroom - half height and shelf tiled, full height around bath</t>
  </si>
  <si>
    <t xml:space="preserve">Ensuite -  half height tiling to wash hand basin wall </t>
  </si>
  <si>
    <t>Ensuite - tiled dwarf wall (not skeiling)</t>
  </si>
  <si>
    <t>Ensuite - full height tiling around shower</t>
  </si>
  <si>
    <t>Floor Tiling</t>
  </si>
  <si>
    <t>Floor tiling to kitchen / dining, bathroom, ensuite</t>
  </si>
  <si>
    <t>Carpets</t>
  </si>
  <si>
    <t>Carpets to lounge, store, hall, stairs, landing, store, bed 1, 2 &amp; 3, store, landing</t>
  </si>
  <si>
    <t>Lean too Porches</t>
  </si>
  <si>
    <t>Meter Boxes</t>
  </si>
  <si>
    <t>Velux windows - large</t>
  </si>
  <si>
    <t>Velux windows - small</t>
  </si>
  <si>
    <t>Standard black composite front door with UPVC frame</t>
  </si>
  <si>
    <t>Ironmongery</t>
  </si>
  <si>
    <t>N/A</t>
  </si>
  <si>
    <t>Fix pre-hung PAS 24 entrance door set with pre-fitted muliti point lock (20mm total packing max) (sub-frame excluded).</t>
  </si>
  <si>
    <t>Cleaning</t>
  </si>
  <si>
    <t>Builders, re-clean and sparkle allowed to each unit.</t>
  </si>
  <si>
    <t>No allowance for granite unless otherwise specified.  Appliances allowed from the Bosch group. Oven, hob, extractor, FF, Dishwasher &amp; washing machine.</t>
  </si>
  <si>
    <t xml:space="preserve">Kitchen supply and installation including appliacnes and standard 45mm MDF worktop. Spec required in order to sure up pricing for this element of works. </t>
  </si>
  <si>
    <t>Scaffolding to plots</t>
  </si>
  <si>
    <t>MECHANICAL &amp; ELECTRICAL</t>
  </si>
  <si>
    <t xml:space="preserve">Mechanical Provisional sum allowed for each unit. Mechanical drawings required along with a full client spec to be able to price works fully. Thermostatic heating system, Baxi Ecoblue 32 system boiler with cylinder. </t>
  </si>
  <si>
    <t xml:space="preserve">Based on BG electrical Nexus accessories, need confirmation on exact spec. Allowed for white accessories only, pendant light fittings throughout. No allowance for any vehicle car charging points. </t>
  </si>
  <si>
    <t>Total Sqft</t>
  </si>
  <si>
    <t>LANDSCAPING</t>
  </si>
  <si>
    <t>Landscaping</t>
  </si>
  <si>
    <t xml:space="preserve">Heavy standard tress av height 350cm - 425cm </t>
  </si>
  <si>
    <t xml:space="preserve">Shrubs - variety mix av height 30 - 60cm </t>
  </si>
  <si>
    <t xml:space="preserve">Specimens - av height 60 - 100cm </t>
  </si>
  <si>
    <t xml:space="preserve">Hedges - double staggered row, av height 60 - 80cm </t>
  </si>
  <si>
    <t>Turfing allowed to landscaped areas</t>
  </si>
  <si>
    <t>Turfing to front and rear gardens</t>
  </si>
  <si>
    <t xml:space="preserve">No containised stock allowed. No ongoing maintence of turf or plants allowed, this can be allowed as an extra over. Rates include layer of organic mulch to trees, shrubs, plants and specimens. </t>
  </si>
  <si>
    <t xml:space="preserve">Boundary walls </t>
  </si>
  <si>
    <t xml:space="preserve">1.2m high natural stone wall with 0.6m high timber fence attached </t>
  </si>
  <si>
    <t>1.8m high timber closeboard fence</t>
  </si>
  <si>
    <t>Fencing</t>
  </si>
  <si>
    <t>Gates</t>
  </si>
  <si>
    <t>1.2m high timber pedestrian gate</t>
  </si>
  <si>
    <t>1.8m high timber closeboard gate</t>
  </si>
  <si>
    <t>WALLS &amp; FENCES</t>
  </si>
  <si>
    <t>1.2m high natural stone wall (215mm wide)</t>
  </si>
  <si>
    <t>2.65m wide timber vehicle gates</t>
  </si>
  <si>
    <t>Assumed timber</t>
  </si>
  <si>
    <t xml:space="preserve">m2 </t>
  </si>
  <si>
    <t>lay</t>
  </si>
  <si>
    <t>Bricks</t>
  </si>
  <si>
    <t>mortar</t>
  </si>
  <si>
    <t>sundries</t>
  </si>
  <si>
    <t xml:space="preserve">timber fence </t>
  </si>
  <si>
    <t>Brick</t>
  </si>
  <si>
    <t>Block</t>
  </si>
  <si>
    <t xml:space="preserve">Standard black composite front door with UPVC frame. Glazing still to be determined, none allowed. </t>
  </si>
  <si>
    <t>Easi joists</t>
  </si>
  <si>
    <t>Service boxes</t>
  </si>
  <si>
    <t xml:space="preserve">Assumed contaminated cart away, however SI would need to be reviewed in order to sure up costs. </t>
  </si>
  <si>
    <t>30mm stone mastic asphalt wearing course, 10mm size (green chippings) - including 60mm binder course</t>
  </si>
  <si>
    <t>Provisional Sum</t>
  </si>
  <si>
    <t>30mm stone mastic asphalt wearing course, 10mm size (red chippings) - including 60mm binder course</t>
  </si>
  <si>
    <t xml:space="preserve">Assumed depth of concrete footing to be 300mm in good strata. This will be adjusted upon receiving relevant SI information. </t>
  </si>
  <si>
    <t>Natural coursed stone to DPC (supply and lay)</t>
  </si>
  <si>
    <t>Ramped entrance to front doors / rear doors</t>
  </si>
  <si>
    <t>Facing bricks to DPC (Bradstone) supply and lay</t>
  </si>
  <si>
    <t>AW</t>
  </si>
  <si>
    <t>CI</t>
  </si>
  <si>
    <t>CJ</t>
  </si>
  <si>
    <t>CK</t>
  </si>
  <si>
    <t>CL</t>
  </si>
  <si>
    <t>CM</t>
  </si>
  <si>
    <t>CN</t>
  </si>
  <si>
    <t>CO</t>
  </si>
  <si>
    <t>CP</t>
  </si>
  <si>
    <t>SECTION 8</t>
  </si>
  <si>
    <t>SECTION 10</t>
  </si>
  <si>
    <t>SECTION 11</t>
  </si>
  <si>
    <t>SECTION 12</t>
  </si>
  <si>
    <t>SECTION 3 - EXTERNAL GROUNDWORKS</t>
  </si>
  <si>
    <t>SECTION 4 - EXTERNAL FAÇADE</t>
  </si>
  <si>
    <t>SECTION 5 - DRYLINING, SCREED &amp; RENDER</t>
  </si>
  <si>
    <t>SECTION 6 - M&amp;E</t>
  </si>
  <si>
    <t xml:space="preserve">Including basic sanitaryware spec. Awaiting further confirmation. </t>
  </si>
  <si>
    <t>SECTION 7 - CARPENTRY</t>
  </si>
  <si>
    <t>SECTION 8 - ROOF COVERINGS</t>
  </si>
  <si>
    <t>SECTION 9 - DECORATING AND OTHER FINISHINGS</t>
  </si>
  <si>
    <t>SECTION 10 - MATERIALS</t>
  </si>
  <si>
    <t>SECTION 11 - LANDSCAPING</t>
  </si>
  <si>
    <t>SECTION 12 - WALLS &amp; FENCES</t>
  </si>
  <si>
    <t>Entire site cost per sqft</t>
  </si>
  <si>
    <t>We have forecast a programme period of 48 weeks on site</t>
  </si>
  <si>
    <t>We have assumed that all information supplied for pricing purposes is accurate, and we have the right to additional time and/or costs if the tender information is proven to be insufficient or cannot be relied upon</t>
  </si>
  <si>
    <t xml:space="preserve">We have made no allowances for taking control of any statutory authority quotations for utilites on or off site. </t>
  </si>
  <si>
    <t xml:space="preserve">Any on site material will need to be WAC tested before dispoal from site, this can be arranged by the contractor for an additional fee. </t>
  </si>
  <si>
    <t>Build cost per sqft (Plot works only)</t>
  </si>
  <si>
    <t>Domestic services to block B</t>
  </si>
  <si>
    <t>Domestic services to block A</t>
  </si>
  <si>
    <t>Jet wash / make good</t>
  </si>
  <si>
    <t>Full soil investigation information will need to be provided to the contractor before the cost for cart away can be established - all cart away assumed Inert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</si>
</sst>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quot;£&quot;#,##0.00"/>
    <numFmt numFmtId="165" formatCode="_-* #,##0_-;\-* #,##0_-;_-* &quot;-&quot;??_-;_-@_-"/>
  </numFmts>
  <fonts count="2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sz val="8"/>
      <name val="Times New Roman"/>
      <family val="1"/>
    </font>
    <font>
      <b/>
      <sz val="12"/>
      <name val="Times New Roman"/>
      <family val="1"/>
    </font>
    <font>
      <u/>
      <sz val="12"/>
      <name val="Times New Roman"/>
      <family val="1"/>
    </font>
    <font>
      <sz val="12"/>
      <color rgb="FFFF0000"/>
      <name val="Times New Roman"/>
      <family val="1"/>
    </font>
    <font>
      <u/>
      <sz val="11"/>
      <name val="Times New Roman"/>
      <family val="1"/>
    </font>
    <font>
      <sz val="11"/>
      <name val="Times New Roman"/>
      <family val="1"/>
    </font>
    <font>
      <sz val="12"/>
      <color rgb="FF0070C0"/>
      <name val="Times New Roman"/>
      <family val="1"/>
    </font>
    <font>
      <u/>
      <sz val="12"/>
      <color rgb="FFFF0000"/>
      <name val="Times New Roman"/>
      <family val="1"/>
    </font>
    <font>
      <b/>
      <u/>
      <sz val="12"/>
      <name val="Times New Roman"/>
      <family val="1"/>
    </font>
    <font>
      <b/>
      <sz val="11"/>
      <name val="Times New Roman"/>
      <family val="1"/>
    </font>
    <font>
      <b/>
      <i/>
      <sz val="12"/>
      <name val="Times New Roman"/>
      <family val="1"/>
    </font>
    <font>
      <b/>
      <i/>
      <u/>
      <sz val="12"/>
      <name val="Times New Roman"/>
      <family val="1"/>
    </font>
    <font>
      <strike/>
      <sz val="12"/>
      <name val="Times New Roman"/>
      <family val="1"/>
    </font>
    <font>
      <b/>
      <u/>
      <sz val="11"/>
      <name val="Times New Roman"/>
      <family val="1"/>
    </font>
    <font>
      <sz val="11"/>
      <color theme="1"/>
      <name val="Avenir Next LT Pro"/>
      <family val="2"/>
    </font>
    <font>
      <sz val="8"/>
      <color theme="1"/>
      <name val="Avenir Next LT Pro"/>
      <family val="2"/>
    </font>
    <font>
      <sz val="11"/>
      <name val="Avenir Next LT Pro"/>
      <family val="2"/>
    </font>
    <font>
      <b/>
      <sz val="11"/>
      <name val="Avenir Next LT Pro"/>
      <family val="2"/>
    </font>
    <font>
      <strike/>
      <sz val="11"/>
      <name val="Avenir Next LT Pro"/>
      <family val="2"/>
    </font>
    <font>
      <strike/>
      <sz val="12"/>
      <color rgb="FFFF0000"/>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5">
    <xf numFmtId="0" fontId="0" fillId="0" borderId="0"/>
    <xf numFmtId="43" fontId="5" fillId="0" borderId="0" applyFont="0" applyFill="0" applyBorder="0" applyAlignment="0" applyProtection="0"/>
    <xf numFmtId="0" fontId="7" fillId="0" borderId="0"/>
    <xf numFmtId="0" fontId="5" fillId="0" borderId="0"/>
    <xf numFmtId="0" fontId="4" fillId="0" borderId="0"/>
    <xf numFmtId="43" fontId="5" fillId="0" borderId="0" applyFont="0" applyFill="0" applyBorder="0" applyAlignment="0" applyProtection="0"/>
    <xf numFmtId="43" fontId="3" fillId="0" borderId="0" applyFont="0" applyFill="0" applyBorder="0" applyAlignment="0" applyProtection="0"/>
    <xf numFmtId="0" fontId="5" fillId="0" borderId="0"/>
    <xf numFmtId="0" fontId="2" fillId="0" borderId="0"/>
    <xf numFmtId="43" fontId="2" fillId="0" borderId="0" applyFont="0" applyFill="0" applyBorder="0" applyAlignment="0" applyProtection="0"/>
    <xf numFmtId="0" fontId="2" fillId="0" borderId="0"/>
    <xf numFmtId="0" fontId="2" fillId="0" borderId="0"/>
    <xf numFmtId="0" fontId="1" fillId="0" borderId="0"/>
    <xf numFmtId="44" fontId="1" fillId="0" borderId="0" applyFont="0" applyFill="0" applyBorder="0" applyAlignment="0" applyProtection="0"/>
    <xf numFmtId="43" fontId="1" fillId="0" borderId="0" applyFont="0" applyFill="0" applyBorder="0" applyAlignment="0" applyProtection="0"/>
  </cellStyleXfs>
  <cellXfs count="368">
    <xf numFmtId="0" fontId="0" fillId="0" borderId="0" xfId="0"/>
    <xf numFmtId="0" fontId="7" fillId="0" borderId="0" xfId="0" applyFont="1" applyAlignment="1">
      <alignment vertical="top" wrapText="1"/>
    </xf>
    <xf numFmtId="0" fontId="7" fillId="0" borderId="1" xfId="0" applyFont="1" applyBorder="1" applyAlignment="1">
      <alignment vertical="top" wrapText="1"/>
    </xf>
    <xf numFmtId="0" fontId="8" fillId="0" borderId="2" xfId="0" applyFont="1" applyBorder="1" applyAlignment="1">
      <alignment horizontal="center" vertical="top" wrapText="1"/>
    </xf>
    <xf numFmtId="0" fontId="7" fillId="0" borderId="3" xfId="0" applyFont="1" applyBorder="1" applyAlignment="1">
      <alignment vertical="top"/>
    </xf>
    <xf numFmtId="0" fontId="7" fillId="0" borderId="4" xfId="0" applyFont="1" applyBorder="1" applyAlignment="1">
      <alignment vertical="top"/>
    </xf>
    <xf numFmtId="0" fontId="7" fillId="0" borderId="5" xfId="0" applyFont="1" applyBorder="1" applyAlignment="1">
      <alignment vertical="top"/>
    </xf>
    <xf numFmtId="0" fontId="7" fillId="0" borderId="6" xfId="0" applyFont="1" applyBorder="1" applyAlignment="1">
      <alignment vertical="top"/>
    </xf>
    <xf numFmtId="0" fontId="7" fillId="0" borderId="7" xfId="0" applyFont="1" applyBorder="1" applyAlignment="1">
      <alignment vertical="top"/>
    </xf>
    <xf numFmtId="0" fontId="7" fillId="0" borderId="0" xfId="0" applyFont="1" applyAlignment="1">
      <alignment vertical="top"/>
    </xf>
    <xf numFmtId="0" fontId="7" fillId="0" borderId="8" xfId="0" applyFont="1" applyBorder="1" applyAlignment="1">
      <alignment vertical="top"/>
    </xf>
    <xf numFmtId="0" fontId="7" fillId="0" borderId="9" xfId="0" applyFont="1" applyBorder="1" applyAlignment="1">
      <alignment vertical="top"/>
    </xf>
    <xf numFmtId="0" fontId="7" fillId="0" borderId="10" xfId="0" applyFont="1" applyBorder="1" applyAlignment="1">
      <alignment vertical="top"/>
    </xf>
    <xf numFmtId="0" fontId="9" fillId="0" borderId="6" xfId="0" applyFont="1" applyBorder="1" applyAlignment="1">
      <alignment vertical="top"/>
    </xf>
    <xf numFmtId="0" fontId="9" fillId="0" borderId="7" xfId="0" applyFont="1" applyBorder="1" applyAlignment="1">
      <alignment vertical="top"/>
    </xf>
    <xf numFmtId="0" fontId="9" fillId="0" borderId="0" xfId="0" applyFont="1" applyAlignment="1">
      <alignment horizontal="center" vertical="top"/>
    </xf>
    <xf numFmtId="164" fontId="7" fillId="0" borderId="1" xfId="0" applyNumberFormat="1" applyFont="1" applyBorder="1" applyAlignment="1">
      <alignment vertical="top" wrapText="1"/>
    </xf>
    <xf numFmtId="164" fontId="7" fillId="0" borderId="6" xfId="0" applyNumberFormat="1" applyFont="1" applyBorder="1" applyAlignment="1">
      <alignment vertical="top" wrapText="1"/>
    </xf>
    <xf numFmtId="165" fontId="7" fillId="0" borderId="1" xfId="1" applyNumberFormat="1" applyFont="1" applyBorder="1" applyAlignment="1">
      <alignment vertical="top" wrapText="1"/>
    </xf>
    <xf numFmtId="0" fontId="10" fillId="0" borderId="1" xfId="0" applyFont="1" applyBorder="1" applyAlignment="1">
      <alignment vertical="top" wrapText="1"/>
    </xf>
    <xf numFmtId="0" fontId="7" fillId="0" borderId="1" xfId="0" applyFont="1" applyBorder="1" applyAlignment="1">
      <alignment horizontal="left" vertical="top" wrapText="1" indent="3"/>
    </xf>
    <xf numFmtId="0" fontId="7" fillId="0" borderId="0" xfId="0" applyFont="1" applyAlignment="1">
      <alignment horizontal="center" vertical="top"/>
    </xf>
    <xf numFmtId="0" fontId="9" fillId="0" borderId="1" xfId="0" applyFont="1" applyBorder="1" applyAlignment="1">
      <alignment vertical="top" wrapText="1"/>
    </xf>
    <xf numFmtId="0" fontId="7" fillId="0" borderId="5" xfId="0" applyFont="1" applyBorder="1" applyAlignment="1">
      <alignment horizontal="center" vertical="top"/>
    </xf>
    <xf numFmtId="0" fontId="7" fillId="0" borderId="10" xfId="0" applyFont="1" applyBorder="1" applyAlignment="1">
      <alignment horizontal="center" vertical="top"/>
    </xf>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7" fillId="0" borderId="2" xfId="0" applyFont="1" applyBorder="1" applyAlignment="1">
      <alignment horizontal="center" vertical="top" wrapText="1"/>
    </xf>
    <xf numFmtId="43" fontId="7" fillId="0" borderId="1" xfId="0" applyNumberFormat="1" applyFont="1" applyBorder="1" applyAlignment="1">
      <alignment vertical="top" wrapText="1"/>
    </xf>
    <xf numFmtId="43" fontId="7" fillId="0" borderId="2" xfId="0" applyNumberFormat="1" applyFont="1" applyBorder="1" applyAlignment="1">
      <alignment vertical="top"/>
    </xf>
    <xf numFmtId="43" fontId="9" fillId="0" borderId="1" xfId="0" applyNumberFormat="1" applyFont="1" applyBorder="1" applyAlignment="1">
      <alignment horizontal="center" vertical="top"/>
    </xf>
    <xf numFmtId="43" fontId="7" fillId="0" borderId="1" xfId="0" applyNumberFormat="1" applyFont="1" applyBorder="1" applyAlignment="1">
      <alignment vertical="top"/>
    </xf>
    <xf numFmtId="43" fontId="7" fillId="0" borderId="11" xfId="0" applyNumberFormat="1" applyFont="1" applyBorder="1" applyAlignment="1">
      <alignment vertical="top"/>
    </xf>
    <xf numFmtId="43" fontId="8" fillId="0" borderId="2" xfId="0" applyNumberFormat="1" applyFont="1" applyBorder="1" applyAlignment="1">
      <alignment horizontal="center" vertical="top" wrapText="1"/>
    </xf>
    <xf numFmtId="43" fontId="7" fillId="0" borderId="0" xfId="0" applyNumberFormat="1" applyFont="1" applyAlignment="1">
      <alignment vertical="top" wrapText="1"/>
    </xf>
    <xf numFmtId="0" fontId="9" fillId="0" borderId="5" xfId="0" applyFont="1" applyBorder="1" applyAlignment="1">
      <alignment horizontal="center" vertical="top"/>
    </xf>
    <xf numFmtId="0" fontId="7" fillId="0" borderId="3" xfId="0" applyFont="1" applyBorder="1" applyAlignment="1">
      <alignment horizontal="center" vertical="top"/>
    </xf>
    <xf numFmtId="0" fontId="7" fillId="0" borderId="6" xfId="0" applyFont="1" applyBorder="1" applyAlignment="1">
      <alignment horizontal="center" vertical="top"/>
    </xf>
    <xf numFmtId="0" fontId="7" fillId="0" borderId="0" xfId="0" applyFont="1" applyAlignment="1">
      <alignment horizontal="right" vertical="top"/>
    </xf>
    <xf numFmtId="0" fontId="7" fillId="0" borderId="8" xfId="0" applyFont="1" applyBorder="1" applyAlignment="1">
      <alignment horizontal="center" vertical="top"/>
    </xf>
    <xf numFmtId="0" fontId="8" fillId="0" borderId="1" xfId="0" applyFont="1" applyBorder="1" applyAlignment="1">
      <alignment horizontal="center" vertical="top" wrapText="1"/>
    </xf>
    <xf numFmtId="0" fontId="9" fillId="0" borderId="1" xfId="0" applyFont="1" applyBorder="1" applyAlignment="1">
      <alignment horizontal="left" vertical="top" wrapText="1"/>
    </xf>
    <xf numFmtId="43" fontId="7" fillId="0" borderId="11" xfId="0" applyNumberFormat="1" applyFont="1" applyBorder="1" applyAlignment="1">
      <alignment vertical="top" wrapText="1"/>
    </xf>
    <xf numFmtId="0" fontId="7" fillId="0" borderId="11" xfId="0" applyFont="1" applyBorder="1" applyAlignment="1">
      <alignment vertical="top" wrapText="1"/>
    </xf>
    <xf numFmtId="0" fontId="7" fillId="0" borderId="6" xfId="0" applyFont="1" applyBorder="1" applyAlignment="1">
      <alignment vertical="top" wrapText="1"/>
    </xf>
    <xf numFmtId="0" fontId="7" fillId="0" borderId="8" xfId="0" applyFont="1" applyBorder="1" applyAlignment="1">
      <alignment vertical="top" wrapText="1"/>
    </xf>
    <xf numFmtId="0" fontId="9" fillId="0" borderId="0" xfId="0" applyFont="1" applyAlignment="1">
      <alignment horizontal="right" vertical="top" wrapText="1"/>
    </xf>
    <xf numFmtId="0" fontId="7" fillId="0" borderId="10" xfId="0" applyFont="1" applyBorder="1" applyAlignment="1">
      <alignment vertical="top" wrapText="1"/>
    </xf>
    <xf numFmtId="0" fontId="7" fillId="0" borderId="3" xfId="0" applyFont="1" applyBorder="1" applyAlignment="1">
      <alignment vertical="top" wrapText="1"/>
    </xf>
    <xf numFmtId="0" fontId="7" fillId="0" borderId="5" xfId="0" applyFont="1" applyBorder="1" applyAlignment="1">
      <alignment horizontal="left" vertical="top" wrapText="1" indent="3"/>
    </xf>
    <xf numFmtId="165" fontId="9" fillId="0" borderId="1" xfId="1" applyNumberFormat="1" applyFont="1" applyBorder="1" applyAlignment="1">
      <alignment vertical="top" wrapText="1"/>
    </xf>
    <xf numFmtId="165" fontId="7" fillId="0" borderId="1" xfId="1" applyNumberFormat="1" applyFont="1" applyBorder="1" applyAlignment="1">
      <alignment horizontal="center" vertical="top" wrapText="1"/>
    </xf>
    <xf numFmtId="165" fontId="7" fillId="0" borderId="1" xfId="1" quotePrefix="1" applyNumberFormat="1" applyFont="1" applyBorder="1" applyAlignment="1">
      <alignment horizontal="center" vertical="top" wrapText="1"/>
    </xf>
    <xf numFmtId="4" fontId="9" fillId="0" borderId="1" xfId="0" applyNumberFormat="1" applyFont="1" applyBorder="1" applyAlignment="1">
      <alignment vertical="top" wrapText="1"/>
    </xf>
    <xf numFmtId="0" fontId="7" fillId="0" borderId="4" xfId="0" applyFont="1" applyBorder="1" applyAlignment="1">
      <alignment vertical="top" wrapText="1"/>
    </xf>
    <xf numFmtId="0" fontId="7" fillId="0" borderId="9" xfId="0" applyFont="1" applyBorder="1" applyAlignment="1">
      <alignment vertical="top" wrapText="1"/>
    </xf>
    <xf numFmtId="0" fontId="7" fillId="0" borderId="2" xfId="0" applyFont="1" applyBorder="1" applyAlignment="1">
      <alignment vertical="top" wrapText="1"/>
    </xf>
    <xf numFmtId="0" fontId="9" fillId="0" borderId="1" xfId="0" applyFont="1" applyBorder="1" applyAlignment="1">
      <alignment horizontal="center" vertical="top" wrapText="1"/>
    </xf>
    <xf numFmtId="164" fontId="9" fillId="0" borderId="1" xfId="0" applyNumberFormat="1" applyFont="1" applyBorder="1" applyAlignment="1">
      <alignment horizontal="center" vertical="top" wrapText="1"/>
    </xf>
    <xf numFmtId="0" fontId="9" fillId="0" borderId="10" xfId="0" applyFont="1" applyBorder="1" applyAlignment="1">
      <alignment horizontal="center" vertical="top"/>
    </xf>
    <xf numFmtId="43" fontId="7" fillId="0" borderId="1" xfId="0" applyNumberFormat="1" applyFont="1" applyBorder="1" applyAlignment="1">
      <alignment horizontal="right" vertical="top" wrapText="1"/>
    </xf>
    <xf numFmtId="0" fontId="7" fillId="0" borderId="6" xfId="0" applyFont="1" applyBorder="1" applyAlignment="1">
      <alignment horizontal="left" vertical="top" wrapText="1"/>
    </xf>
    <xf numFmtId="0" fontId="12" fillId="0" borderId="1" xfId="0" applyFont="1" applyBorder="1" applyAlignment="1">
      <alignment vertical="top" wrapText="1"/>
    </xf>
    <xf numFmtId="0" fontId="13" fillId="0" borderId="1" xfId="0" applyFont="1" applyBorder="1" applyAlignment="1">
      <alignment horizontal="center" vertical="top" wrapText="1"/>
    </xf>
    <xf numFmtId="164" fontId="13" fillId="0" borderId="1" xfId="0" applyNumberFormat="1" applyFont="1" applyBorder="1" applyAlignment="1">
      <alignment vertical="top" wrapText="1"/>
    </xf>
    <xf numFmtId="43" fontId="13" fillId="0" borderId="1" xfId="0" applyNumberFormat="1" applyFont="1" applyBorder="1" applyAlignment="1">
      <alignment vertical="top" wrapText="1"/>
    </xf>
    <xf numFmtId="0" fontId="13" fillId="0" borderId="1" xfId="0" applyFont="1" applyBorder="1" applyAlignment="1">
      <alignment vertical="top" wrapText="1"/>
    </xf>
    <xf numFmtId="4" fontId="7" fillId="0" borderId="0" xfId="2" applyNumberFormat="1" applyAlignment="1">
      <alignment vertical="top" wrapText="1"/>
    </xf>
    <xf numFmtId="4" fontId="10" fillId="0" borderId="0" xfId="2" applyNumberFormat="1" applyFont="1" applyAlignment="1">
      <alignment vertical="top" wrapText="1"/>
    </xf>
    <xf numFmtId="43" fontId="8" fillId="0" borderId="1" xfId="0" applyNumberFormat="1" applyFont="1" applyBorder="1" applyAlignment="1">
      <alignment horizontal="center" vertical="top" wrapText="1"/>
    </xf>
    <xf numFmtId="164" fontId="13" fillId="0" borderId="6" xfId="0" applyNumberFormat="1" applyFont="1" applyBorder="1" applyAlignment="1">
      <alignment vertical="top" wrapText="1"/>
    </xf>
    <xf numFmtId="0" fontId="11" fillId="0" borderId="1" xfId="0" applyFont="1" applyBorder="1" applyAlignment="1">
      <alignment horizontal="center" vertical="top" wrapText="1"/>
    </xf>
    <xf numFmtId="0" fontId="11" fillId="0" borderId="1" xfId="0" applyFont="1" applyBorder="1" applyAlignment="1">
      <alignment vertical="top" wrapText="1"/>
    </xf>
    <xf numFmtId="43" fontId="11" fillId="0" borderId="1" xfId="0" applyNumberFormat="1" applyFont="1" applyBorder="1" applyAlignment="1">
      <alignment vertical="top" wrapText="1"/>
    </xf>
    <xf numFmtId="164" fontId="11" fillId="0" borderId="1" xfId="0" applyNumberFormat="1" applyFont="1" applyBorder="1" applyAlignment="1">
      <alignment vertical="top" wrapText="1"/>
    </xf>
    <xf numFmtId="165" fontId="7" fillId="0" borderId="1" xfId="1" applyNumberFormat="1" applyFont="1" applyFill="1" applyBorder="1" applyAlignment="1">
      <alignment vertical="top" wrapText="1"/>
    </xf>
    <xf numFmtId="0" fontId="14" fillId="0" borderId="1" xfId="0" applyFont="1" applyBorder="1" applyAlignment="1">
      <alignment horizontal="center" vertical="top" wrapText="1"/>
    </xf>
    <xf numFmtId="0" fontId="14" fillId="0" borderId="1" xfId="0" applyFont="1" applyBorder="1" applyAlignment="1">
      <alignment vertical="top" wrapText="1"/>
    </xf>
    <xf numFmtId="0" fontId="7" fillId="0" borderId="1" xfId="0" applyFont="1" applyBorder="1" applyAlignment="1">
      <alignment horizontal="left" vertical="top" wrapText="1" indent="1"/>
    </xf>
    <xf numFmtId="0" fontId="7" fillId="0" borderId="1" xfId="0" applyFont="1" applyBorder="1" applyAlignment="1">
      <alignment vertical="top"/>
    </xf>
    <xf numFmtId="0" fontId="7" fillId="0" borderId="1" xfId="0" applyFont="1" applyBorder="1" applyAlignment="1">
      <alignment horizontal="center" vertical="top"/>
    </xf>
    <xf numFmtId="0" fontId="7" fillId="0" borderId="11" xfId="0" applyFont="1" applyBorder="1" applyAlignment="1">
      <alignment horizontal="center" vertical="top" wrapText="1"/>
    </xf>
    <xf numFmtId="0" fontId="16" fillId="0" borderId="1" xfId="0" applyFont="1" applyBorder="1" applyAlignment="1">
      <alignment vertical="top" wrapText="1"/>
    </xf>
    <xf numFmtId="0" fontId="7" fillId="0" borderId="1" xfId="4" applyFont="1" applyBorder="1" applyAlignment="1">
      <alignment horizontal="center" vertical="top" wrapText="1"/>
    </xf>
    <xf numFmtId="164" fontId="7" fillId="0" borderId="1" xfId="4" applyNumberFormat="1" applyFont="1" applyBorder="1" applyAlignment="1">
      <alignment vertical="top" wrapText="1"/>
    </xf>
    <xf numFmtId="0" fontId="7" fillId="0" borderId="1" xfId="4" applyFont="1" applyBorder="1" applyAlignment="1">
      <alignment vertical="top" wrapText="1"/>
    </xf>
    <xf numFmtId="165" fontId="7" fillId="0" borderId="1" xfId="5" applyNumberFormat="1" applyFont="1" applyFill="1" applyBorder="1" applyAlignment="1">
      <alignment vertical="top" wrapText="1"/>
    </xf>
    <xf numFmtId="165" fontId="7" fillId="0" borderId="1" xfId="5" applyNumberFormat="1" applyFont="1" applyBorder="1" applyAlignment="1">
      <alignment vertical="top" wrapText="1"/>
    </xf>
    <xf numFmtId="0" fontId="15" fillId="0" borderId="1" xfId="0" applyFont="1" applyBorder="1" applyAlignment="1">
      <alignment vertical="top" wrapText="1"/>
    </xf>
    <xf numFmtId="0" fontId="7" fillId="0" borderId="2" xfId="0" applyFont="1" applyBorder="1" applyAlignment="1">
      <alignment horizontal="center" vertical="top"/>
    </xf>
    <xf numFmtId="0" fontId="7" fillId="0" borderId="2" xfId="0" applyFont="1" applyBorder="1" applyAlignment="1">
      <alignment vertical="top"/>
    </xf>
    <xf numFmtId="0" fontId="17" fillId="0" borderId="1" xfId="0" applyFont="1" applyBorder="1" applyAlignment="1">
      <alignment vertical="top" wrapText="1"/>
    </xf>
    <xf numFmtId="0" fontId="18" fillId="0" borderId="1" xfId="0" applyFont="1" applyBorder="1" applyAlignment="1">
      <alignment vertical="top" wrapText="1"/>
    </xf>
    <xf numFmtId="0" fontId="9" fillId="0" borderId="1" xfId="0" applyFont="1" applyBorder="1" applyAlignment="1">
      <alignment horizontal="left" vertical="top" wrapText="1" indent="1"/>
    </xf>
    <xf numFmtId="0" fontId="7" fillId="0" borderId="3" xfId="7" applyFont="1" applyBorder="1" applyAlignment="1">
      <alignment vertical="top"/>
    </xf>
    <xf numFmtId="0" fontId="7" fillId="0" borderId="4" xfId="7" applyFont="1" applyBorder="1" applyAlignment="1">
      <alignment vertical="top"/>
    </xf>
    <xf numFmtId="0" fontId="9" fillId="0" borderId="5" xfId="7" applyFont="1" applyBorder="1" applyAlignment="1">
      <alignment horizontal="center" vertical="top"/>
    </xf>
    <xf numFmtId="43" fontId="7" fillId="0" borderId="2" xfId="7" applyNumberFormat="1" applyFont="1" applyBorder="1" applyAlignment="1">
      <alignment vertical="top"/>
    </xf>
    <xf numFmtId="0" fontId="7" fillId="0" borderId="0" xfId="7" applyFont="1" applyAlignment="1">
      <alignment vertical="top" wrapText="1"/>
    </xf>
    <xf numFmtId="0" fontId="9" fillId="0" borderId="6" xfId="7" applyFont="1" applyBorder="1" applyAlignment="1">
      <alignment vertical="top"/>
    </xf>
    <xf numFmtId="0" fontId="9" fillId="0" borderId="7" xfId="7" applyFont="1" applyBorder="1" applyAlignment="1">
      <alignment vertical="top"/>
    </xf>
    <xf numFmtId="0" fontId="9" fillId="0" borderId="0" xfId="7" applyFont="1" applyAlignment="1">
      <alignment horizontal="center" vertical="top"/>
    </xf>
    <xf numFmtId="43" fontId="9" fillId="0" borderId="1" xfId="7" applyNumberFormat="1" applyFont="1" applyBorder="1" applyAlignment="1">
      <alignment horizontal="center" vertical="top"/>
    </xf>
    <xf numFmtId="0" fontId="7" fillId="0" borderId="8" xfId="7" applyFont="1" applyBorder="1" applyAlignment="1">
      <alignment vertical="top"/>
    </xf>
    <xf numFmtId="0" fontId="7" fillId="0" borderId="9" xfId="7" applyFont="1" applyBorder="1" applyAlignment="1">
      <alignment vertical="top"/>
    </xf>
    <xf numFmtId="0" fontId="9" fillId="0" borderId="10" xfId="7" applyFont="1" applyBorder="1" applyAlignment="1">
      <alignment horizontal="center" vertical="top"/>
    </xf>
    <xf numFmtId="43" fontId="7" fillId="0" borderId="11" xfId="7" applyNumberFormat="1" applyFont="1" applyBorder="1" applyAlignment="1">
      <alignment vertical="top"/>
    </xf>
    <xf numFmtId="0" fontId="7" fillId="0" borderId="2" xfId="7" applyFont="1" applyBorder="1" applyAlignment="1">
      <alignment horizontal="center" vertical="top" wrapText="1"/>
    </xf>
    <xf numFmtId="0" fontId="8" fillId="0" borderId="2" xfId="7" applyFont="1" applyBorder="1" applyAlignment="1">
      <alignment horizontal="center" vertical="top" wrapText="1"/>
    </xf>
    <xf numFmtId="43" fontId="8" fillId="0" borderId="2" xfId="7" applyNumberFormat="1" applyFont="1" applyBorder="1" applyAlignment="1">
      <alignment horizontal="center" vertical="top" wrapText="1"/>
    </xf>
    <xf numFmtId="0" fontId="7" fillId="0" borderId="1" xfId="7" applyFont="1" applyBorder="1" applyAlignment="1">
      <alignment horizontal="center" vertical="top" wrapText="1"/>
    </xf>
    <xf numFmtId="0" fontId="8" fillId="0" borderId="1" xfId="7" applyFont="1" applyBorder="1" applyAlignment="1">
      <alignment horizontal="center" vertical="top" wrapText="1"/>
    </xf>
    <xf numFmtId="43" fontId="8" fillId="0" borderId="1" xfId="7" applyNumberFormat="1" applyFont="1" applyBorder="1" applyAlignment="1">
      <alignment horizontal="center" vertical="top" wrapText="1"/>
    </xf>
    <xf numFmtId="0" fontId="7" fillId="0" borderId="1" xfId="7" applyFont="1" applyBorder="1" applyAlignment="1">
      <alignment vertical="top" wrapText="1"/>
    </xf>
    <xf numFmtId="164" fontId="7" fillId="0" borderId="1" xfId="7" applyNumberFormat="1" applyFont="1" applyBorder="1" applyAlignment="1">
      <alignment vertical="top" wrapText="1"/>
    </xf>
    <xf numFmtId="43" fontId="7" fillId="0" borderId="1" xfId="7" applyNumberFormat="1" applyFont="1" applyBorder="1" applyAlignment="1">
      <alignment vertical="top" wrapText="1"/>
    </xf>
    <xf numFmtId="0" fontId="7" fillId="0" borderId="1" xfId="7" applyFont="1" applyBorder="1" applyAlignment="1">
      <alignment horizontal="left" vertical="top" wrapText="1"/>
    </xf>
    <xf numFmtId="0" fontId="13" fillId="0" borderId="1" xfId="7" applyFont="1" applyBorder="1" applyAlignment="1">
      <alignment horizontal="center" vertical="top" wrapText="1"/>
    </xf>
    <xf numFmtId="0" fontId="7" fillId="0" borderId="0" xfId="7" applyFont="1" applyAlignment="1">
      <alignment horizontal="center" vertical="top" wrapText="1"/>
    </xf>
    <xf numFmtId="43" fontId="7" fillId="0" borderId="0" xfId="7" applyNumberFormat="1" applyFont="1" applyAlignment="1">
      <alignment vertical="top" wrapText="1"/>
    </xf>
    <xf numFmtId="0" fontId="19" fillId="0" borderId="1" xfId="0" applyFont="1" applyBorder="1" applyAlignment="1">
      <alignment vertical="top" wrapText="1"/>
    </xf>
    <xf numFmtId="0" fontId="18" fillId="0" borderId="1" xfId="0" applyFont="1" applyBorder="1" applyAlignment="1">
      <alignment horizontal="left" vertical="top" wrapText="1"/>
    </xf>
    <xf numFmtId="0" fontId="10" fillId="0" borderId="1" xfId="7" applyFont="1" applyBorder="1" applyAlignment="1">
      <alignment vertical="top" wrapText="1"/>
    </xf>
    <xf numFmtId="0" fontId="14" fillId="0" borderId="1" xfId="4" applyFont="1" applyBorder="1" applyAlignment="1">
      <alignment vertical="top" wrapText="1"/>
    </xf>
    <xf numFmtId="0" fontId="14" fillId="0" borderId="1" xfId="0" applyFont="1" applyBorder="1" applyAlignment="1">
      <alignment horizontal="left" vertical="top" wrapText="1" indent="1"/>
    </xf>
    <xf numFmtId="0" fontId="7" fillId="0" borderId="11" xfId="0" applyFont="1" applyBorder="1" applyAlignment="1">
      <alignment horizontal="left" vertical="top" wrapText="1"/>
    </xf>
    <xf numFmtId="0" fontId="7" fillId="0" borderId="11" xfId="0" applyFont="1" applyBorder="1" applyAlignment="1">
      <alignment horizontal="left" vertical="top" wrapText="1" indent="1"/>
    </xf>
    <xf numFmtId="164" fontId="7" fillId="0" borderId="11" xfId="0" applyNumberFormat="1"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horizontal="center" vertical="top" wrapText="1"/>
    </xf>
    <xf numFmtId="4" fontId="14" fillId="0" borderId="0" xfId="2" applyNumberFormat="1" applyFont="1" applyAlignment="1">
      <alignment vertical="top" wrapText="1"/>
    </xf>
    <xf numFmtId="4" fontId="16" fillId="0" borderId="0" xfId="2" applyNumberFormat="1" applyFont="1" applyAlignment="1">
      <alignment vertical="top" wrapText="1"/>
    </xf>
    <xf numFmtId="165" fontId="7" fillId="0" borderId="1" xfId="1" applyNumberFormat="1" applyFont="1" applyBorder="1" applyAlignment="1">
      <alignment horizontal="right" wrapText="1"/>
    </xf>
    <xf numFmtId="165" fontId="7" fillId="0" borderId="1" xfId="1" applyNumberFormat="1" applyFont="1" applyBorder="1" applyAlignment="1">
      <alignment wrapText="1"/>
    </xf>
    <xf numFmtId="0" fontId="7" fillId="0" borderId="1" xfId="0" applyFont="1" applyBorder="1" applyAlignment="1">
      <alignment horizontal="center" wrapText="1"/>
    </xf>
    <xf numFmtId="0" fontId="7" fillId="0" borderId="3" xfId="0" applyFont="1" applyBorder="1"/>
    <xf numFmtId="0" fontId="9" fillId="0" borderId="5" xfId="0" applyFont="1" applyBorder="1" applyAlignment="1">
      <alignment horizontal="center"/>
    </xf>
    <xf numFmtId="0" fontId="9" fillId="0" borderId="6" xfId="0" applyFont="1" applyBorder="1"/>
    <xf numFmtId="0" fontId="9" fillId="0" borderId="0" xfId="0" applyFont="1" applyAlignment="1">
      <alignment horizontal="center"/>
    </xf>
    <xf numFmtId="0" fontId="7" fillId="0" borderId="6" xfId="0" applyFont="1" applyBorder="1"/>
    <xf numFmtId="0" fontId="8" fillId="0" borderId="2" xfId="0" applyFont="1" applyBorder="1" applyAlignment="1">
      <alignment horizontal="center" wrapText="1"/>
    </xf>
    <xf numFmtId="0" fontId="7" fillId="0" borderId="5" xfId="0" applyFont="1" applyBorder="1"/>
    <xf numFmtId="0" fontId="7" fillId="0" borderId="5" xfId="0" applyFont="1" applyBorder="1" applyAlignment="1">
      <alignment horizontal="center"/>
    </xf>
    <xf numFmtId="0" fontId="7" fillId="0" borderId="0" xfId="0" applyFont="1"/>
    <xf numFmtId="0" fontId="7" fillId="0" borderId="0" xfId="0" applyFont="1" applyAlignment="1">
      <alignment horizontal="right"/>
    </xf>
    <xf numFmtId="0" fontId="7" fillId="0" borderId="10" xfId="0" applyFont="1" applyBorder="1"/>
    <xf numFmtId="0" fontId="7" fillId="0" borderId="10" xfId="0" applyFont="1" applyBorder="1" applyAlignment="1">
      <alignment horizontal="center"/>
    </xf>
    <xf numFmtId="0" fontId="7" fillId="0" borderId="2" xfId="0" applyFont="1" applyBorder="1"/>
    <xf numFmtId="0" fontId="7" fillId="0" borderId="2" xfId="0" applyFont="1" applyBorder="1" applyAlignment="1">
      <alignment horizontal="center"/>
    </xf>
    <xf numFmtId="165" fontId="11" fillId="0" borderId="1" xfId="1" applyNumberFormat="1" applyFont="1" applyBorder="1" applyAlignment="1">
      <alignment wrapText="1"/>
    </xf>
    <xf numFmtId="0" fontId="11" fillId="0" borderId="1" xfId="0" applyFont="1" applyBorder="1" applyAlignment="1">
      <alignment horizontal="center" wrapText="1"/>
    </xf>
    <xf numFmtId="0" fontId="7" fillId="0" borderId="1" xfId="4"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7" fillId="0" borderId="0" xfId="0" applyFont="1" applyAlignment="1">
      <alignment horizontal="center" wrapText="1"/>
    </xf>
    <xf numFmtId="43" fontId="8" fillId="0" borderId="2" xfId="0" applyNumberFormat="1" applyFont="1" applyBorder="1" applyAlignment="1">
      <alignment horizontal="center" wrapText="1"/>
    </xf>
    <xf numFmtId="165" fontId="7" fillId="0" borderId="1" xfId="5" applyNumberFormat="1" applyFont="1" applyBorder="1" applyAlignment="1">
      <alignment wrapText="1"/>
    </xf>
    <xf numFmtId="0" fontId="21" fillId="0" borderId="1" xfId="0" applyFont="1" applyBorder="1" applyAlignment="1">
      <alignment vertical="top" wrapText="1"/>
    </xf>
    <xf numFmtId="0" fontId="7" fillId="0" borderId="6" xfId="0" applyFont="1" applyBorder="1" applyAlignment="1">
      <alignment horizontal="right" vertical="top" wrapText="1"/>
    </xf>
    <xf numFmtId="0" fontId="7" fillId="0" borderId="6" xfId="0" applyFont="1" applyBorder="1" applyAlignment="1">
      <alignment horizontal="right" wrapText="1"/>
    </xf>
    <xf numFmtId="9" fontId="7" fillId="0" borderId="1" xfId="1" quotePrefix="1" applyNumberFormat="1" applyFont="1" applyBorder="1" applyAlignment="1">
      <alignment horizontal="center" vertical="top"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7" fillId="0" borderId="11" xfId="0" applyFont="1" applyBorder="1" applyAlignment="1">
      <alignment horizontal="center" wrapText="1"/>
    </xf>
    <xf numFmtId="0" fontId="7" fillId="0" borderId="1" xfId="0" applyFont="1" applyBorder="1" applyAlignment="1">
      <alignment horizontal="center"/>
    </xf>
    <xf numFmtId="0" fontId="7" fillId="0" borderId="8" xfId="0" applyFont="1" applyBorder="1"/>
    <xf numFmtId="165" fontId="13" fillId="0" borderId="1" xfId="1" applyNumberFormat="1" applyFont="1" applyBorder="1" applyAlignment="1">
      <alignment wrapText="1"/>
    </xf>
    <xf numFmtId="165" fontId="14" fillId="0" borderId="1" xfId="1" applyNumberFormat="1" applyFont="1" applyFill="1" applyBorder="1" applyAlignment="1">
      <alignment wrapText="1"/>
    </xf>
    <xf numFmtId="165" fontId="7" fillId="0" borderId="11" xfId="1" applyNumberFormat="1" applyFont="1" applyBorder="1" applyAlignment="1">
      <alignment wrapText="1"/>
    </xf>
    <xf numFmtId="165" fontId="13" fillId="0" borderId="1" xfId="1" applyNumberFormat="1" applyFont="1" applyFill="1" applyBorder="1" applyAlignment="1">
      <alignment wrapText="1"/>
    </xf>
    <xf numFmtId="165" fontId="14" fillId="0" borderId="1" xfId="1" applyNumberFormat="1" applyFont="1" applyBorder="1" applyAlignment="1">
      <alignment wrapText="1"/>
    </xf>
    <xf numFmtId="0" fontId="7" fillId="0" borderId="1" xfId="0" applyFont="1" applyBorder="1"/>
    <xf numFmtId="43" fontId="7" fillId="0" borderId="1" xfId="0" applyNumberFormat="1" applyFont="1" applyBorder="1" applyAlignment="1">
      <alignment horizontal="center" wrapText="1"/>
    </xf>
    <xf numFmtId="43" fontId="7" fillId="0" borderId="0" xfId="0" applyNumberFormat="1" applyFont="1" applyAlignment="1">
      <alignment vertical="top"/>
    </xf>
    <xf numFmtId="43" fontId="8" fillId="0" borderId="0" xfId="0" applyNumberFormat="1" applyFont="1" applyAlignment="1">
      <alignment horizontal="center" vertical="top" wrapText="1"/>
    </xf>
    <xf numFmtId="43" fontId="14" fillId="0" borderId="0" xfId="0" applyNumberFormat="1" applyFont="1" applyAlignment="1">
      <alignment vertical="top" wrapText="1"/>
    </xf>
    <xf numFmtId="43" fontId="13" fillId="0" borderId="0" xfId="0" applyNumberFormat="1" applyFont="1" applyAlignment="1">
      <alignment horizontal="center" vertical="top" wrapText="1"/>
    </xf>
    <xf numFmtId="0" fontId="9" fillId="0" borderId="10" xfId="0" applyFont="1" applyBorder="1" applyAlignment="1">
      <alignment horizontal="center"/>
    </xf>
    <xf numFmtId="0" fontId="8" fillId="0" borderId="1" xfId="0" applyFont="1" applyBorder="1" applyAlignment="1">
      <alignment horizontal="center" wrapText="1"/>
    </xf>
    <xf numFmtId="0" fontId="7" fillId="0" borderId="1" xfId="0" applyFont="1" applyBorder="1" applyAlignment="1">
      <alignment wrapText="1"/>
    </xf>
    <xf numFmtId="165" fontId="7" fillId="0" borderId="5" xfId="1" applyNumberFormat="1" applyFont="1" applyBorder="1" applyAlignment="1">
      <alignment wrapText="1"/>
    </xf>
    <xf numFmtId="0" fontId="7" fillId="0" borderId="5" xfId="0" applyFont="1" applyBorder="1" applyAlignment="1">
      <alignment horizontal="center" wrapText="1"/>
    </xf>
    <xf numFmtId="0" fontId="7" fillId="0" borderId="4" xfId="0" applyFont="1" applyBorder="1"/>
    <xf numFmtId="43" fontId="7" fillId="0" borderId="2" xfId="0" applyNumberFormat="1" applyFont="1" applyBorder="1"/>
    <xf numFmtId="0" fontId="9" fillId="0" borderId="7" xfId="0" applyFont="1" applyBorder="1"/>
    <xf numFmtId="43" fontId="9" fillId="0" borderId="1" xfId="0" applyNumberFormat="1" applyFont="1" applyBorder="1" applyAlignment="1">
      <alignment horizontal="center"/>
    </xf>
    <xf numFmtId="0" fontId="7" fillId="0" borderId="9" xfId="0" applyFont="1" applyBorder="1"/>
    <xf numFmtId="43" fontId="7" fillId="0" borderId="11" xfId="0" applyNumberFormat="1" applyFont="1" applyBorder="1"/>
    <xf numFmtId="43" fontId="8" fillId="0" borderId="1" xfId="0" applyNumberFormat="1" applyFont="1" applyBorder="1" applyAlignment="1">
      <alignment horizontal="center" wrapText="1"/>
    </xf>
    <xf numFmtId="164" fontId="7" fillId="0" borderId="1" xfId="0" applyNumberFormat="1" applyFont="1" applyBorder="1" applyAlignment="1">
      <alignment wrapText="1"/>
    </xf>
    <xf numFmtId="43" fontId="7" fillId="0" borderId="1" xfId="0" applyNumberFormat="1" applyFont="1" applyBorder="1" applyAlignment="1">
      <alignment wrapText="1"/>
    </xf>
    <xf numFmtId="164" fontId="7" fillId="0" borderId="6" xfId="0" applyNumberFormat="1" applyFont="1" applyBorder="1" applyAlignment="1">
      <alignment wrapText="1"/>
    </xf>
    <xf numFmtId="43" fontId="7" fillId="0" borderId="2" xfId="0" applyNumberFormat="1" applyFont="1" applyBorder="1" applyAlignment="1">
      <alignment wrapText="1"/>
    </xf>
    <xf numFmtId="43" fontId="7" fillId="0" borderId="11" xfId="0" applyNumberFormat="1" applyFont="1" applyBorder="1" applyAlignment="1">
      <alignment wrapText="1"/>
    </xf>
    <xf numFmtId="164" fontId="14" fillId="0" borderId="1" xfId="0" applyNumberFormat="1" applyFont="1" applyBorder="1" applyAlignment="1">
      <alignment wrapText="1"/>
    </xf>
    <xf numFmtId="43" fontId="14" fillId="0" borderId="1" xfId="0" applyNumberFormat="1" applyFont="1" applyBorder="1" applyAlignment="1">
      <alignment wrapText="1"/>
    </xf>
    <xf numFmtId="164" fontId="7" fillId="0" borderId="5" xfId="0" applyNumberFormat="1" applyFont="1" applyBorder="1" applyAlignment="1">
      <alignment wrapText="1"/>
    </xf>
    <xf numFmtId="43" fontId="7" fillId="0" borderId="1" xfId="0" applyNumberFormat="1" applyFont="1" applyBorder="1"/>
    <xf numFmtId="43" fontId="7" fillId="0" borderId="0" xfId="0" applyNumberFormat="1" applyFont="1" applyAlignment="1">
      <alignment wrapText="1"/>
    </xf>
    <xf numFmtId="164" fontId="11" fillId="0" borderId="1" xfId="0" applyNumberFormat="1" applyFont="1" applyBorder="1" applyAlignment="1">
      <alignment wrapText="1"/>
    </xf>
    <xf numFmtId="43" fontId="11" fillId="0" borderId="1" xfId="0" applyNumberFormat="1" applyFont="1" applyBorder="1" applyAlignment="1">
      <alignment wrapText="1"/>
    </xf>
    <xf numFmtId="0" fontId="7" fillId="0" borderId="0" xfId="7" applyFont="1" applyAlignment="1">
      <alignment wrapText="1"/>
    </xf>
    <xf numFmtId="4" fontId="7" fillId="0" borderId="0" xfId="0" applyNumberFormat="1" applyFont="1" applyAlignment="1">
      <alignment vertical="top" wrapText="1"/>
    </xf>
    <xf numFmtId="4" fontId="7" fillId="0" borderId="0" xfId="0" applyNumberFormat="1" applyFont="1" applyAlignment="1">
      <alignment wrapText="1"/>
    </xf>
    <xf numFmtId="43" fontId="20" fillId="0" borderId="1" xfId="0" applyNumberFormat="1" applyFont="1" applyBorder="1" applyAlignment="1">
      <alignment horizontal="center" wrapText="1"/>
    </xf>
    <xf numFmtId="43" fontId="20" fillId="0" borderId="1" xfId="0" applyNumberFormat="1" applyFont="1" applyBorder="1" applyAlignment="1">
      <alignment wrapText="1"/>
    </xf>
    <xf numFmtId="164" fontId="11" fillId="0" borderId="1" xfId="7" applyNumberFormat="1" applyFont="1" applyBorder="1" applyAlignment="1">
      <alignment wrapText="1"/>
    </xf>
    <xf numFmtId="43" fontId="11" fillId="0" borderId="1" xfId="7" applyNumberFormat="1" applyFont="1" applyBorder="1" applyAlignment="1">
      <alignment wrapText="1"/>
    </xf>
    <xf numFmtId="0" fontId="9" fillId="0" borderId="0" xfId="10" applyFont="1" applyAlignment="1">
      <alignment vertical="top"/>
    </xf>
    <xf numFmtId="43" fontId="9" fillId="0" borderId="0" xfId="1" applyFont="1" applyAlignment="1">
      <alignment horizontal="left" vertical="top"/>
    </xf>
    <xf numFmtId="0" fontId="22" fillId="0" borderId="0" xfId="11" applyFont="1" applyAlignment="1">
      <alignment vertical="top"/>
    </xf>
    <xf numFmtId="3" fontId="9" fillId="0" borderId="0" xfId="1" applyNumberFormat="1" applyFont="1" applyAlignment="1">
      <alignment horizontal="left" vertical="top"/>
    </xf>
    <xf numFmtId="3" fontId="22" fillId="0" borderId="0" xfId="11" applyNumberFormat="1" applyFont="1" applyAlignment="1">
      <alignment vertical="top"/>
    </xf>
    <xf numFmtId="0" fontId="23" fillId="0" borderId="0" xfId="11" applyFont="1" applyAlignment="1">
      <alignment vertical="top"/>
    </xf>
    <xf numFmtId="0" fontId="24" fillId="2" borderId="3" xfId="11" applyFont="1" applyFill="1" applyBorder="1" applyAlignment="1">
      <alignment horizontal="left" vertical="top"/>
    </xf>
    <xf numFmtId="0" fontId="24" fillId="2" borderId="5" xfId="11" applyFont="1" applyFill="1" applyBorder="1" applyAlignment="1">
      <alignment horizontal="center" vertical="top"/>
    </xf>
    <xf numFmtId="3" fontId="24" fillId="2" borderId="5" xfId="11" applyNumberFormat="1" applyFont="1" applyFill="1" applyBorder="1" applyAlignment="1">
      <alignment horizontal="center" vertical="top"/>
    </xf>
    <xf numFmtId="3" fontId="24" fillId="2" borderId="4" xfId="11" applyNumberFormat="1" applyFont="1" applyFill="1" applyBorder="1" applyAlignment="1">
      <alignment horizontal="center" vertical="top"/>
    </xf>
    <xf numFmtId="0" fontId="25" fillId="2" borderId="6" xfId="11" applyFont="1" applyFill="1" applyBorder="1" applyAlignment="1">
      <alignment horizontal="left" vertical="top" wrapText="1"/>
    </xf>
    <xf numFmtId="0" fontId="25" fillId="2" borderId="0" xfId="11" applyFont="1" applyFill="1" applyAlignment="1">
      <alignment horizontal="right" vertical="top" wrapText="1"/>
    </xf>
    <xf numFmtId="3" fontId="24" fillId="2" borderId="0" xfId="11" applyNumberFormat="1" applyFont="1" applyFill="1" applyAlignment="1">
      <alignment horizontal="left" vertical="top" wrapText="1"/>
    </xf>
    <xf numFmtId="3" fontId="24" fillId="2" borderId="7" xfId="11" applyNumberFormat="1" applyFont="1" applyFill="1" applyBorder="1" applyAlignment="1">
      <alignment horizontal="left" vertical="top" wrapText="1"/>
    </xf>
    <xf numFmtId="0" fontId="25" fillId="2" borderId="3" xfId="11" applyFont="1" applyFill="1" applyBorder="1" applyAlignment="1">
      <alignment horizontal="left" vertical="top" wrapText="1"/>
    </xf>
    <xf numFmtId="0" fontId="25" fillId="2" borderId="5" xfId="11" applyFont="1" applyFill="1" applyBorder="1" applyAlignment="1">
      <alignment horizontal="right" vertical="top" wrapText="1"/>
    </xf>
    <xf numFmtId="3" fontId="24" fillId="2" borderId="5" xfId="11" applyNumberFormat="1" applyFont="1" applyFill="1" applyBorder="1" applyAlignment="1">
      <alignment horizontal="right" vertical="top" wrapText="1"/>
    </xf>
    <xf numFmtId="3" fontId="24" fillId="2" borderId="4" xfId="11" applyNumberFormat="1" applyFont="1" applyFill="1" applyBorder="1" applyAlignment="1">
      <alignment horizontal="left" vertical="top" wrapText="1"/>
    </xf>
    <xf numFmtId="0" fontId="24" fillId="2" borderId="6" xfId="11" applyFont="1" applyFill="1" applyBorder="1" applyAlignment="1">
      <alignment horizontal="left" vertical="top" wrapText="1"/>
    </xf>
    <xf numFmtId="0" fontId="24" fillId="2" borderId="0" xfId="11" applyFont="1" applyFill="1" applyAlignment="1">
      <alignment horizontal="left" vertical="top" wrapText="1"/>
    </xf>
    <xf numFmtId="3" fontId="24" fillId="2" borderId="0" xfId="11" applyNumberFormat="1" applyFont="1" applyFill="1" applyAlignment="1">
      <alignment horizontal="right" vertical="top" wrapText="1"/>
    </xf>
    <xf numFmtId="0" fontId="24" fillId="0" borderId="6" xfId="11" applyFont="1" applyBorder="1" applyAlignment="1">
      <alignment horizontal="left" vertical="top" wrapText="1"/>
    </xf>
    <xf numFmtId="3" fontId="24" fillId="0" borderId="0" xfId="11" applyNumberFormat="1" applyFont="1" applyAlignment="1">
      <alignment horizontal="right" vertical="top"/>
    </xf>
    <xf numFmtId="49" fontId="24" fillId="0" borderId="0" xfId="11" applyNumberFormat="1" applyFont="1" applyAlignment="1">
      <alignment horizontal="right" vertical="top"/>
    </xf>
    <xf numFmtId="3" fontId="24" fillId="0" borderId="7" xfId="11" applyNumberFormat="1" applyFont="1" applyBorder="1" applyAlignment="1">
      <alignment horizontal="right" vertical="top"/>
    </xf>
    <xf numFmtId="0" fontId="24" fillId="0" borderId="8" xfId="11" applyFont="1" applyBorder="1" applyAlignment="1">
      <alignment horizontal="left" vertical="top" wrapText="1"/>
    </xf>
    <xf numFmtId="3" fontId="24" fillId="0" borderId="10" xfId="11" applyNumberFormat="1" applyFont="1" applyBorder="1" applyAlignment="1">
      <alignment horizontal="right" vertical="top"/>
    </xf>
    <xf numFmtId="49" fontId="24" fillId="0" borderId="10" xfId="11" applyNumberFormat="1" applyFont="1" applyBorder="1" applyAlignment="1">
      <alignment horizontal="right" vertical="top"/>
    </xf>
    <xf numFmtId="3" fontId="24" fillId="0" borderId="9" xfId="11" applyNumberFormat="1" applyFont="1" applyBorder="1" applyAlignment="1">
      <alignment horizontal="right" vertical="top"/>
    </xf>
    <xf numFmtId="0" fontId="24" fillId="2" borderId="3" xfId="11" applyFont="1" applyFill="1" applyBorder="1" applyAlignment="1">
      <alignment horizontal="left" vertical="top" wrapText="1"/>
    </xf>
    <xf numFmtId="0" fontId="24" fillId="2" borderId="5" xfId="11" applyFont="1" applyFill="1" applyBorder="1" applyAlignment="1">
      <alignment horizontal="left" vertical="top" wrapText="1"/>
    </xf>
    <xf numFmtId="0" fontId="26" fillId="0" borderId="8" xfId="11" applyFont="1" applyBorder="1" applyAlignment="1">
      <alignment horizontal="left" vertical="top" wrapText="1"/>
    </xf>
    <xf numFmtId="0" fontId="24" fillId="0" borderId="8" xfId="11" applyFont="1" applyBorder="1" applyAlignment="1">
      <alignment horizontal="left" vertical="top"/>
    </xf>
    <xf numFmtId="0" fontId="24" fillId="0" borderId="10" xfId="11" applyFont="1" applyBorder="1" applyAlignment="1">
      <alignment horizontal="left" vertical="top"/>
    </xf>
    <xf numFmtId="3" fontId="25" fillId="2" borderId="10" xfId="11" applyNumberFormat="1" applyFont="1" applyFill="1" applyBorder="1" applyAlignment="1">
      <alignment horizontal="right" vertical="top"/>
    </xf>
    <xf numFmtId="3" fontId="25" fillId="2" borderId="9" xfId="11" applyNumberFormat="1" applyFont="1" applyFill="1" applyBorder="1" applyAlignment="1">
      <alignment horizontal="right" vertical="top"/>
    </xf>
    <xf numFmtId="4" fontId="11" fillId="0" borderId="1" xfId="0" applyNumberFormat="1" applyFont="1" applyBorder="1" applyAlignment="1">
      <alignment wrapText="1"/>
    </xf>
    <xf numFmtId="4" fontId="7" fillId="0" borderId="1" xfId="0" applyNumberFormat="1" applyFont="1" applyBorder="1" applyAlignment="1">
      <alignment wrapText="1"/>
    </xf>
    <xf numFmtId="0" fontId="11" fillId="0" borderId="1" xfId="7" applyFont="1" applyBorder="1" applyAlignment="1">
      <alignment horizontal="center" wrapText="1"/>
    </xf>
    <xf numFmtId="4" fontId="7" fillId="0" borderId="1" xfId="0" applyNumberFormat="1" applyFont="1" applyBorder="1" applyAlignment="1">
      <alignment horizontal="right" wrapText="1"/>
    </xf>
    <xf numFmtId="164" fontId="7" fillId="0" borderId="6" xfId="0" applyNumberFormat="1" applyFont="1" applyBorder="1" applyAlignment="1">
      <alignment horizontal="right" wrapText="1"/>
    </xf>
    <xf numFmtId="164" fontId="11" fillId="0" borderId="6" xfId="0" applyNumberFormat="1" applyFont="1" applyBorder="1" applyAlignment="1">
      <alignment wrapText="1"/>
    </xf>
    <xf numFmtId="164" fontId="13" fillId="0" borderId="1" xfId="0" applyNumberFormat="1" applyFont="1" applyBorder="1" applyAlignment="1">
      <alignment wrapText="1"/>
    </xf>
    <xf numFmtId="43" fontId="13" fillId="0" borderId="1" xfId="0" applyNumberFormat="1" applyFont="1" applyBorder="1" applyAlignment="1">
      <alignment wrapText="1"/>
    </xf>
    <xf numFmtId="164" fontId="13" fillId="0" borderId="6" xfId="0" applyNumberFormat="1" applyFont="1" applyBorder="1" applyAlignment="1">
      <alignment wrapText="1"/>
    </xf>
    <xf numFmtId="0" fontId="11" fillId="0" borderId="1" xfId="0" applyFont="1" applyBorder="1" applyAlignment="1">
      <alignment horizontal="center"/>
    </xf>
    <xf numFmtId="4" fontId="7" fillId="0" borderId="1" xfId="0" applyNumberFormat="1" applyFont="1" applyBorder="1" applyAlignment="1">
      <alignment vertical="top" wrapText="1"/>
    </xf>
    <xf numFmtId="0" fontId="11" fillId="0" borderId="1" xfId="0" applyFont="1" applyBorder="1"/>
    <xf numFmtId="165" fontId="11" fillId="0" borderId="1" xfId="1" applyNumberFormat="1" applyFont="1" applyBorder="1" applyAlignment="1">
      <alignment vertical="top" wrapText="1"/>
    </xf>
    <xf numFmtId="0" fontId="11" fillId="0" borderId="1" xfId="0" applyFont="1" applyBorder="1" applyAlignment="1">
      <alignment wrapText="1"/>
    </xf>
    <xf numFmtId="0" fontId="5" fillId="0" borderId="0" xfId="3" applyAlignment="1">
      <alignment vertical="top"/>
    </xf>
    <xf numFmtId="0" fontId="24" fillId="0" borderId="0" xfId="3" applyFont="1" applyAlignment="1">
      <alignment vertical="top"/>
    </xf>
    <xf numFmtId="0" fontId="25" fillId="2" borderId="14" xfId="3" applyFont="1" applyFill="1" applyBorder="1" applyAlignment="1">
      <alignment horizontal="center" vertical="top"/>
    </xf>
    <xf numFmtId="0" fontId="25" fillId="2" borderId="14" xfId="3" applyFont="1" applyFill="1" applyBorder="1" applyAlignment="1">
      <alignment horizontal="left" vertical="top"/>
    </xf>
    <xf numFmtId="0" fontId="24" fillId="3" borderId="14" xfId="3" applyFont="1" applyFill="1" applyBorder="1" applyAlignment="1">
      <alignment horizontal="left" vertical="center" wrapText="1"/>
    </xf>
    <xf numFmtId="0" fontId="24" fillId="0" borderId="14" xfId="3" applyFont="1" applyBorder="1" applyAlignment="1">
      <alignment horizontal="left" vertical="center" wrapText="1"/>
    </xf>
    <xf numFmtId="49" fontId="24" fillId="3" borderId="14" xfId="3" applyNumberFormat="1" applyFont="1" applyFill="1" applyBorder="1" applyAlignment="1">
      <alignment horizontal="center" vertical="top"/>
    </xf>
    <xf numFmtId="0" fontId="24" fillId="0" borderId="0" xfId="11" applyFont="1" applyAlignment="1">
      <alignment horizontal="right" wrapText="1"/>
    </xf>
    <xf numFmtId="3" fontId="24" fillId="0" borderId="0" xfId="11" applyNumberFormat="1" applyFont="1" applyAlignment="1">
      <alignment horizontal="right" wrapText="1"/>
    </xf>
    <xf numFmtId="3" fontId="24" fillId="0" borderId="7" xfId="11" applyNumberFormat="1" applyFont="1" applyBorder="1" applyAlignment="1">
      <alignment horizontal="right"/>
    </xf>
    <xf numFmtId="3" fontId="24" fillId="0" borderId="0" xfId="11" applyNumberFormat="1" applyFont="1" applyAlignment="1">
      <alignment horizontal="right"/>
    </xf>
    <xf numFmtId="49" fontId="24" fillId="0" borderId="0" xfId="11" applyNumberFormat="1" applyFont="1" applyAlignment="1">
      <alignment horizontal="right"/>
    </xf>
    <xf numFmtId="43" fontId="7" fillId="0" borderId="0" xfId="7" applyNumberFormat="1" applyFont="1" applyAlignment="1">
      <alignment vertical="top"/>
    </xf>
    <xf numFmtId="43" fontId="9" fillId="0" borderId="0" xfId="7" applyNumberFormat="1" applyFont="1" applyAlignment="1">
      <alignment horizontal="center" vertical="top"/>
    </xf>
    <xf numFmtId="43" fontId="8" fillId="0" borderId="0" xfId="7" applyNumberFormat="1" applyFont="1" applyAlignment="1">
      <alignment horizontal="center" vertical="top" wrapText="1"/>
    </xf>
    <xf numFmtId="43" fontId="7" fillId="0" borderId="1" xfId="7" applyNumberFormat="1" applyFont="1" applyBorder="1" applyAlignment="1">
      <alignment wrapText="1"/>
    </xf>
    <xf numFmtId="0" fontId="7" fillId="0" borderId="1" xfId="7" applyFont="1" applyBorder="1" applyAlignment="1">
      <alignment horizontal="center" wrapText="1"/>
    </xf>
    <xf numFmtId="164" fontId="7" fillId="0" borderId="1" xfId="7" applyNumberFormat="1" applyFont="1" applyBorder="1" applyAlignment="1">
      <alignment wrapText="1"/>
    </xf>
    <xf numFmtId="4" fontId="7" fillId="0" borderId="4" xfId="0" applyNumberFormat="1" applyFont="1" applyBorder="1" applyAlignment="1">
      <alignment vertical="top"/>
    </xf>
    <xf numFmtId="4" fontId="9" fillId="0" borderId="7" xfId="0" applyNumberFormat="1" applyFont="1" applyBorder="1" applyAlignment="1">
      <alignment vertical="top"/>
    </xf>
    <xf numFmtId="4" fontId="7" fillId="0" borderId="7" xfId="0" applyNumberFormat="1" applyFont="1" applyBorder="1" applyAlignment="1">
      <alignment vertical="top"/>
    </xf>
    <xf numFmtId="4" fontId="8" fillId="0" borderId="2" xfId="0" applyNumberFormat="1" applyFont="1" applyBorder="1" applyAlignment="1">
      <alignment horizontal="center" vertical="top" wrapText="1"/>
    </xf>
    <xf numFmtId="4" fontId="7" fillId="0" borderId="5" xfId="0" applyNumberFormat="1" applyFont="1" applyBorder="1" applyAlignment="1">
      <alignment vertical="top"/>
    </xf>
    <xf numFmtId="4" fontId="7" fillId="0" borderId="0" xfId="0" applyNumberFormat="1" applyFont="1" applyAlignment="1">
      <alignment horizontal="right" vertical="top"/>
    </xf>
    <xf numFmtId="4" fontId="7" fillId="0" borderId="10" xfId="0" applyNumberFormat="1" applyFont="1" applyBorder="1" applyAlignment="1">
      <alignment vertical="top"/>
    </xf>
    <xf numFmtId="4" fontId="7" fillId="0" borderId="6" xfId="0" applyNumberFormat="1" applyFont="1" applyBorder="1" applyAlignment="1">
      <alignment vertical="top" wrapText="1"/>
    </xf>
    <xf numFmtId="4" fontId="7" fillId="0" borderId="0" xfId="0" applyNumberFormat="1" applyFont="1" applyAlignment="1">
      <alignment vertical="top"/>
    </xf>
    <xf numFmtId="0" fontId="20" fillId="0" borderId="1" xfId="0" applyFont="1" applyBorder="1" applyAlignment="1">
      <alignment vertical="top" wrapText="1"/>
    </xf>
    <xf numFmtId="43" fontId="11" fillId="0" borderId="1" xfId="0" applyNumberFormat="1" applyFont="1" applyBorder="1" applyAlignment="1">
      <alignment horizontal="center" wrapText="1"/>
    </xf>
    <xf numFmtId="43" fontId="7" fillId="0" borderId="6" xfId="0" applyNumberFormat="1" applyFont="1" applyBorder="1" applyAlignment="1">
      <alignment vertical="top" wrapText="1"/>
    </xf>
    <xf numFmtId="43" fontId="11" fillId="0" borderId="6" xfId="0" applyNumberFormat="1" applyFont="1" applyBorder="1" applyAlignment="1">
      <alignment vertical="top" wrapText="1"/>
    </xf>
    <xf numFmtId="164" fontId="14" fillId="0" borderId="6" xfId="0" applyNumberFormat="1" applyFont="1" applyBorder="1" applyAlignment="1">
      <alignment wrapText="1"/>
    </xf>
    <xf numFmtId="4" fontId="7" fillId="0" borderId="9" xfId="0" applyNumberFormat="1" applyFont="1" applyBorder="1" applyAlignment="1">
      <alignment vertical="top"/>
    </xf>
    <xf numFmtId="4" fontId="8" fillId="0" borderId="1" xfId="0" applyNumberFormat="1" applyFont="1" applyBorder="1" applyAlignment="1">
      <alignment horizontal="center" vertical="top" wrapText="1"/>
    </xf>
    <xf numFmtId="4" fontId="11" fillId="0" borderId="1" xfId="0" applyNumberFormat="1" applyFont="1" applyBorder="1" applyAlignment="1">
      <alignment horizontal="right" wrapText="1"/>
    </xf>
    <xf numFmtId="4" fontId="7" fillId="0" borderId="4" xfId="0" applyNumberFormat="1" applyFont="1" applyBorder="1"/>
    <xf numFmtId="4" fontId="9" fillId="0" borderId="7" xfId="0" applyNumberFormat="1" applyFont="1" applyBorder="1"/>
    <xf numFmtId="4" fontId="7" fillId="0" borderId="7" xfId="0" applyNumberFormat="1" applyFont="1" applyBorder="1"/>
    <xf numFmtId="4" fontId="8" fillId="0" borderId="2" xfId="0" applyNumberFormat="1" applyFont="1" applyBorder="1" applyAlignment="1">
      <alignment horizontal="center" wrapText="1"/>
    </xf>
    <xf numFmtId="4" fontId="14" fillId="0" borderId="1" xfId="0" applyNumberFormat="1" applyFont="1" applyBorder="1" applyAlignment="1">
      <alignment wrapText="1"/>
    </xf>
    <xf numFmtId="4" fontId="7" fillId="0" borderId="5" xfId="0" applyNumberFormat="1" applyFont="1" applyBorder="1"/>
    <xf numFmtId="4" fontId="7" fillId="0" borderId="0" xfId="0" applyNumberFormat="1" applyFont="1" applyAlignment="1">
      <alignment horizontal="right"/>
    </xf>
    <xf numFmtId="4" fontId="7" fillId="0" borderId="10" xfId="0" applyNumberFormat="1" applyFont="1" applyBorder="1"/>
    <xf numFmtId="4" fontId="7" fillId="0" borderId="11" xfId="0" applyNumberFormat="1" applyFont="1" applyBorder="1" applyAlignment="1">
      <alignment wrapText="1"/>
    </xf>
    <xf numFmtId="4" fontId="20" fillId="0" borderId="1" xfId="0" applyNumberFormat="1" applyFont="1" applyBorder="1" applyAlignment="1">
      <alignment wrapText="1"/>
    </xf>
    <xf numFmtId="4" fontId="7" fillId="0" borderId="6" xfId="0" applyNumberFormat="1" applyFont="1" applyBorder="1" applyAlignment="1">
      <alignment wrapText="1"/>
    </xf>
    <xf numFmtId="4" fontId="7" fillId="0" borderId="0" xfId="0" applyNumberFormat="1" applyFont="1"/>
    <xf numFmtId="43" fontId="7" fillId="0" borderId="1" xfId="1" applyFont="1" applyBorder="1" applyAlignment="1">
      <alignment wrapText="1"/>
    </xf>
    <xf numFmtId="165" fontId="20" fillId="0" borderId="1" xfId="1" applyNumberFormat="1" applyFont="1" applyBorder="1" applyAlignment="1">
      <alignment wrapText="1"/>
    </xf>
    <xf numFmtId="0" fontId="20" fillId="0" borderId="1" xfId="0" applyFont="1" applyBorder="1" applyAlignment="1">
      <alignment horizontal="center" wrapText="1"/>
    </xf>
    <xf numFmtId="165" fontId="7" fillId="0" borderId="1" xfId="1" applyNumberFormat="1" applyFont="1" applyFill="1" applyBorder="1" applyAlignment="1">
      <alignment wrapText="1"/>
    </xf>
    <xf numFmtId="4" fontId="7" fillId="0" borderId="1" xfId="0" applyNumberFormat="1" applyFont="1" applyBorder="1" applyAlignment="1">
      <alignment horizontal="center" wrapText="1"/>
    </xf>
    <xf numFmtId="165" fontId="27" fillId="0" borderId="1" xfId="1" applyNumberFormat="1" applyFont="1" applyBorder="1" applyAlignment="1">
      <alignment wrapText="1"/>
    </xf>
    <xf numFmtId="164" fontId="20" fillId="0" borderId="6" xfId="0" applyNumberFormat="1" applyFont="1" applyBorder="1" applyAlignment="1">
      <alignment wrapText="1"/>
    </xf>
    <xf numFmtId="0" fontId="7" fillId="0" borderId="1" xfId="0" applyFont="1" applyBorder="1" applyAlignment="1">
      <alignment horizontal="center" vertical="center" wrapText="1"/>
    </xf>
    <xf numFmtId="0" fontId="7" fillId="0" borderId="1" xfId="4" applyFont="1" applyBorder="1" applyAlignment="1">
      <alignment horizontal="left" vertical="top" wrapText="1"/>
    </xf>
    <xf numFmtId="0" fontId="7" fillId="0" borderId="1" xfId="4" applyFont="1" applyBorder="1" applyAlignment="1">
      <alignment horizontal="center" vertical="center" wrapText="1"/>
    </xf>
    <xf numFmtId="0" fontId="14" fillId="0" borderId="1" xfId="4" applyFont="1" applyBorder="1" applyAlignment="1">
      <alignment horizontal="center" vertical="center" wrapText="1"/>
    </xf>
    <xf numFmtId="165" fontId="7" fillId="0" borderId="1" xfId="1" applyNumberFormat="1" applyFont="1" applyBorder="1" applyAlignment="1">
      <alignment horizontal="left" wrapText="1"/>
    </xf>
    <xf numFmtId="0" fontId="9" fillId="0" borderId="1" xfId="0" applyFont="1" applyBorder="1" applyAlignment="1">
      <alignment horizontal="left" vertical="center" wrapText="1"/>
    </xf>
    <xf numFmtId="3" fontId="24" fillId="0" borderId="7" xfId="11" applyNumberFormat="1" applyFont="1" applyBorder="1" applyAlignment="1">
      <alignment horizontal="right" vertical="center"/>
    </xf>
    <xf numFmtId="165" fontId="7" fillId="0" borderId="1" xfId="1" applyNumberFormat="1" applyFont="1" applyBorder="1" applyAlignment="1">
      <alignment vertical="center" wrapText="1"/>
    </xf>
    <xf numFmtId="165" fontId="7" fillId="0" borderId="1" xfId="0" applyNumberFormat="1" applyFont="1" applyBorder="1" applyAlignment="1">
      <alignment wrapText="1"/>
    </xf>
    <xf numFmtId="0" fontId="7" fillId="0" borderId="10" xfId="0" applyFont="1" applyBorder="1" applyAlignment="1">
      <alignment horizontal="center" vertical="top" wrapText="1"/>
    </xf>
    <xf numFmtId="4" fontId="7" fillId="0" borderId="10" xfId="0" applyNumberFormat="1" applyFont="1" applyBorder="1" applyAlignment="1">
      <alignment vertical="top" wrapText="1"/>
    </xf>
    <xf numFmtId="43" fontId="7" fillId="0" borderId="10" xfId="0" applyNumberFormat="1" applyFont="1" applyBorder="1" applyAlignment="1">
      <alignment vertical="top" wrapText="1"/>
    </xf>
    <xf numFmtId="164" fontId="7" fillId="0" borderId="1" xfId="0" applyNumberFormat="1" applyFont="1" applyBorder="1" applyAlignment="1">
      <alignment horizontal="right" wrapText="1"/>
    </xf>
    <xf numFmtId="0" fontId="9" fillId="0" borderId="6" xfId="7" applyFont="1" applyBorder="1" applyAlignment="1">
      <alignment horizontal="center" vertical="top"/>
    </xf>
    <xf numFmtId="43" fontId="7" fillId="0" borderId="0" xfId="7" applyNumberFormat="1" applyFont="1" applyAlignment="1">
      <alignment horizontal="left" wrapText="1"/>
    </xf>
    <xf numFmtId="0" fontId="10" fillId="0" borderId="0" xfId="7" applyFont="1" applyAlignment="1">
      <alignment vertical="top" wrapText="1"/>
    </xf>
    <xf numFmtId="0" fontId="7" fillId="0" borderId="1" xfId="7" applyFont="1" applyBorder="1" applyAlignment="1">
      <alignment horizontal="right" vertical="top" wrapText="1"/>
    </xf>
    <xf numFmtId="0" fontId="9" fillId="0" borderId="1" xfId="7" applyFont="1" applyBorder="1" applyAlignment="1">
      <alignment vertical="top" wrapText="1"/>
    </xf>
    <xf numFmtId="0" fontId="20" fillId="0" borderId="1" xfId="7" applyFont="1" applyBorder="1" applyAlignment="1">
      <alignment vertical="top" wrapText="1"/>
    </xf>
    <xf numFmtId="165" fontId="20" fillId="0" borderId="1" xfId="5" applyNumberFormat="1" applyFont="1" applyFill="1" applyBorder="1" applyAlignment="1">
      <alignment vertical="top" wrapText="1"/>
    </xf>
    <xf numFmtId="0" fontId="20" fillId="0" borderId="1" xfId="7" applyFont="1" applyBorder="1" applyAlignment="1">
      <alignment horizontal="center" vertical="top" wrapText="1"/>
    </xf>
    <xf numFmtId="164" fontId="20" fillId="0" borderId="1" xfId="7" applyNumberFormat="1" applyFont="1" applyBorder="1" applyAlignment="1">
      <alignment vertical="top" wrapText="1"/>
    </xf>
    <xf numFmtId="43" fontId="20" fillId="0" borderId="1" xfId="7" applyNumberFormat="1" applyFont="1" applyBorder="1" applyAlignment="1">
      <alignment vertical="top" wrapText="1"/>
    </xf>
    <xf numFmtId="6" fontId="7" fillId="0" borderId="0" xfId="7" applyNumberFormat="1" applyFont="1" applyAlignment="1">
      <alignment vertical="top" wrapText="1"/>
    </xf>
    <xf numFmtId="0" fontId="5" fillId="0" borderId="0" xfId="0" applyFont="1"/>
    <xf numFmtId="165" fontId="7" fillId="0" borderId="0" xfId="7" applyNumberFormat="1" applyFont="1" applyAlignment="1">
      <alignment vertical="top" wrapText="1"/>
    </xf>
    <xf numFmtId="4" fontId="8" fillId="0" borderId="1" xfId="0" applyNumberFormat="1" applyFont="1" applyBorder="1" applyAlignment="1">
      <alignment horizontal="center" wrapText="1"/>
    </xf>
    <xf numFmtId="164" fontId="7" fillId="0" borderId="1" xfId="4" applyNumberFormat="1" applyFont="1" applyBorder="1" applyAlignment="1">
      <alignment wrapText="1"/>
    </xf>
    <xf numFmtId="2" fontId="7" fillId="0" borderId="0" xfId="0" applyNumberFormat="1" applyFont="1" applyAlignment="1">
      <alignment vertical="top" wrapText="1"/>
    </xf>
    <xf numFmtId="165" fontId="7" fillId="0" borderId="1" xfId="5" applyNumberFormat="1" applyFont="1" applyFill="1" applyBorder="1" applyAlignment="1">
      <alignment wrapText="1"/>
    </xf>
    <xf numFmtId="43" fontId="7" fillId="0" borderId="1" xfId="4" applyNumberFormat="1" applyFont="1" applyBorder="1" applyAlignment="1">
      <alignment wrapText="1"/>
    </xf>
    <xf numFmtId="0" fontId="14" fillId="0" borderId="1" xfId="4" applyFont="1" applyBorder="1" applyAlignment="1">
      <alignment horizontal="center" wrapText="1"/>
    </xf>
    <xf numFmtId="165" fontId="14" fillId="0" borderId="1" xfId="5" applyNumberFormat="1" applyFont="1" applyFill="1" applyBorder="1" applyAlignment="1">
      <alignment wrapText="1"/>
    </xf>
    <xf numFmtId="2" fontId="7" fillId="0" borderId="1" xfId="0" applyNumberFormat="1" applyFont="1" applyBorder="1" applyAlignment="1">
      <alignment wrapText="1"/>
    </xf>
    <xf numFmtId="165" fontId="7" fillId="0" borderId="1" xfId="1" applyNumberFormat="1" applyFont="1" applyBorder="1" applyAlignment="1">
      <alignment horizontal="center" wrapText="1"/>
    </xf>
    <xf numFmtId="0" fontId="7" fillId="0" borderId="6" xfId="4" applyFont="1" applyBorder="1" applyAlignment="1">
      <alignment horizontal="center" vertical="center" wrapText="1"/>
    </xf>
    <xf numFmtId="0" fontId="7" fillId="0" borderId="0" xfId="4" applyFont="1" applyAlignment="1">
      <alignment vertical="top" wrapText="1"/>
    </xf>
    <xf numFmtId="165" fontId="7" fillId="0" borderId="0" xfId="5" applyNumberFormat="1" applyFont="1" applyFill="1" applyBorder="1" applyAlignment="1">
      <alignment wrapText="1"/>
    </xf>
    <xf numFmtId="0" fontId="7" fillId="0" borderId="0" xfId="4" applyFont="1" applyAlignment="1">
      <alignment horizontal="center" wrapText="1"/>
    </xf>
    <xf numFmtId="164" fontId="7" fillId="0" borderId="0" xfId="4" applyNumberFormat="1" applyFont="1" applyAlignment="1">
      <alignment wrapText="1"/>
    </xf>
    <xf numFmtId="0" fontId="7" fillId="0" borderId="6" xfId="0" applyFont="1" applyBorder="1" applyAlignment="1">
      <alignment horizontal="center" vertical="top" wrapText="1"/>
    </xf>
    <xf numFmtId="165" fontId="7" fillId="0" borderId="8" xfId="1" applyNumberFormat="1" applyFont="1" applyBorder="1" applyAlignment="1">
      <alignment vertical="top" wrapText="1"/>
    </xf>
    <xf numFmtId="0" fontId="7" fillId="0" borderId="8" xfId="0" applyFont="1" applyBorder="1" applyAlignment="1">
      <alignment horizontal="center" vertical="top" wrapText="1"/>
    </xf>
    <xf numFmtId="164" fontId="7" fillId="0" borderId="6" xfId="7" applyNumberFormat="1" applyFont="1" applyBorder="1" applyAlignment="1">
      <alignment wrapText="1"/>
    </xf>
    <xf numFmtId="0" fontId="7" fillId="0" borderId="1" xfId="0" applyFont="1" applyBorder="1" applyAlignment="1">
      <alignment horizontal="left" wrapText="1"/>
    </xf>
    <xf numFmtId="0" fontId="11" fillId="0" borderId="6" xfId="0" applyFont="1" applyBorder="1" applyAlignment="1">
      <alignment horizontal="center" vertical="top" wrapText="1"/>
    </xf>
    <xf numFmtId="43" fontId="7" fillId="0" borderId="8" xfId="1" applyFont="1" applyBorder="1" applyAlignment="1">
      <alignment wrapText="1"/>
    </xf>
    <xf numFmtId="0" fontId="7" fillId="0" borderId="8" xfId="0" applyFont="1" applyBorder="1" applyAlignment="1">
      <alignment horizontal="center" vertical="center" wrapText="1"/>
    </xf>
    <xf numFmtId="43" fontId="7" fillId="0" borderId="1" xfId="1" quotePrefix="1" applyFont="1" applyBorder="1" applyAlignment="1">
      <alignment horizontal="center" vertical="top" wrapText="1"/>
    </xf>
    <xf numFmtId="43" fontId="11" fillId="0" borderId="0" xfId="7" applyNumberFormat="1" applyFont="1" applyAlignment="1">
      <alignment vertical="top" wrapText="1"/>
    </xf>
    <xf numFmtId="0" fontId="9" fillId="0" borderId="6" xfId="0" applyFont="1" applyBorder="1" applyAlignment="1">
      <alignment horizontal="center" vertical="top"/>
    </xf>
    <xf numFmtId="0" fontId="9" fillId="0" borderId="7" xfId="0" applyFont="1" applyBorder="1" applyAlignment="1">
      <alignment horizontal="center" vertical="top"/>
    </xf>
    <xf numFmtId="0" fontId="25" fillId="2" borderId="12" xfId="3" applyFont="1" applyFill="1" applyBorder="1" applyAlignment="1">
      <alignment horizontal="left" vertical="top" wrapText="1"/>
    </xf>
    <xf numFmtId="0" fontId="25" fillId="2" borderId="13" xfId="3" applyFont="1" applyFill="1" applyBorder="1" applyAlignment="1">
      <alignment horizontal="left" vertical="top" wrapText="1"/>
    </xf>
  </cellXfs>
  <cellStyles count="15">
    <cellStyle name="Comma" xfId="1" builtinId="3"/>
    <cellStyle name="Comma 2" xfId="6" xr:uid="{9A9C8B1D-C0C0-421E-9CC0-DFA8417BC664}"/>
    <cellStyle name="Comma 2 2" xfId="5" xr:uid="{D421ABC7-9212-464D-933D-467E1C4645DF}"/>
    <cellStyle name="Comma 2 3" xfId="9" xr:uid="{03F37544-9460-40E4-9F35-FBF7FE097107}"/>
    <cellStyle name="Comma 3 2 4" xfId="14" xr:uid="{848F2E33-E8BB-4EFE-B6AE-19A1549BA3D7}"/>
    <cellStyle name="Currency 3" xfId="13" xr:uid="{493E3FCE-68DD-498D-82F9-DFC483B680B4}"/>
    <cellStyle name="Normal" xfId="0" builtinId="0"/>
    <cellStyle name="Normal 2" xfId="4" xr:uid="{C1A52631-AA9D-46C9-863A-5D6A8DB19322}"/>
    <cellStyle name="Normal 2 2" xfId="3" xr:uid="{0E346910-7363-4CA1-8E9D-BA529A28B917}"/>
    <cellStyle name="Normal 2 3" xfId="8" xr:uid="{B99EF5BD-DB1E-4CB1-B8FF-AB71FA865810}"/>
    <cellStyle name="Normal 2 4" xfId="10" xr:uid="{1EFD180E-B005-47EC-B3B8-EF10521BC956}"/>
    <cellStyle name="Normal 3" xfId="7" xr:uid="{8BCDDA4D-E8E8-471C-A311-2465972EFAD9}"/>
    <cellStyle name="Normal 6" xfId="11" xr:uid="{1BC79ED0-9FF8-4311-B0CF-D73D34DC5C9C}"/>
    <cellStyle name="Normal 6 2" xfId="12" xr:uid="{1B8AF0F4-07A3-4F3D-B7CE-519AD558F426}"/>
    <cellStyle name="Normal_Block Nr 4"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view="pageBreakPreview" zoomScaleNormal="100" zoomScaleSheetLayoutView="100" workbookViewId="0">
      <selection activeCell="G5" sqref="G5"/>
    </sheetView>
  </sheetViews>
  <sheetFormatPr defaultColWidth="9.1328125" defaultRowHeight="15.4" x14ac:dyDescent="0.35"/>
  <cols>
    <col min="1" max="1" width="4.1328125" style="1" customWidth="1"/>
    <col min="2" max="2" width="67.86328125" style="1" customWidth="1"/>
    <col min="3" max="3" width="10.33203125" style="1" bestFit="1" customWidth="1"/>
    <col min="4" max="4" width="14.86328125" style="1" customWidth="1"/>
    <col min="5" max="5" width="9.1328125" style="1"/>
    <col min="6" max="6" width="12.1328125" style="1" bestFit="1" customWidth="1"/>
    <col min="7" max="16384" width="9.1328125" style="1"/>
  </cols>
  <sheetData>
    <row r="1" spans="1:4" x14ac:dyDescent="0.35">
      <c r="A1" s="4"/>
      <c r="B1" s="5"/>
      <c r="C1" s="4"/>
      <c r="D1" s="56"/>
    </row>
    <row r="2" spans="1:4" x14ac:dyDescent="0.35">
      <c r="A2" s="101" t="str">
        <f>'02 Plot Groundworks'!A2</f>
        <v>The Former Police Station, Haslingden</v>
      </c>
      <c r="B2" s="14"/>
      <c r="C2" s="364" t="s">
        <v>1</v>
      </c>
      <c r="D2" s="365"/>
    </row>
    <row r="3" spans="1:4" x14ac:dyDescent="0.35">
      <c r="A3" s="10"/>
      <c r="B3" s="11"/>
      <c r="C3" s="10"/>
      <c r="D3" s="57"/>
    </row>
    <row r="4" spans="1:4" x14ac:dyDescent="0.35">
      <c r="A4" s="29"/>
      <c r="B4" s="3"/>
      <c r="C4" s="42"/>
      <c r="D4" s="58"/>
    </row>
    <row r="5" spans="1:4" x14ac:dyDescent="0.35">
      <c r="A5" s="25"/>
      <c r="B5" s="42"/>
      <c r="C5" s="42"/>
      <c r="D5" s="2"/>
    </row>
    <row r="6" spans="1:4" ht="15.75" customHeight="1" x14ac:dyDescent="0.35">
      <c r="A6" s="25"/>
      <c r="B6" s="22" t="s">
        <v>1</v>
      </c>
      <c r="C6" s="52" t="s">
        <v>2</v>
      </c>
      <c r="D6" s="59" t="s">
        <v>25</v>
      </c>
    </row>
    <row r="7" spans="1:4" ht="15.75" customHeight="1" x14ac:dyDescent="0.35">
      <c r="A7" s="25"/>
      <c r="B7" s="22"/>
      <c r="C7" s="52"/>
      <c r="D7" s="60" t="s">
        <v>20</v>
      </c>
    </row>
    <row r="8" spans="1:4" x14ac:dyDescent="0.35">
      <c r="A8" s="25"/>
      <c r="B8" s="2"/>
      <c r="C8" s="53"/>
      <c r="D8" s="2"/>
    </row>
    <row r="9" spans="1:4" x14ac:dyDescent="0.35">
      <c r="A9" s="25"/>
      <c r="B9" s="46" t="s">
        <v>0</v>
      </c>
      <c r="C9" s="54"/>
      <c r="D9" s="256">
        <f>'01 Prelims'!E63</f>
        <v>352400</v>
      </c>
    </row>
    <row r="10" spans="1:4" x14ac:dyDescent="0.35">
      <c r="A10" s="25"/>
      <c r="B10" s="46"/>
      <c r="C10" s="54"/>
      <c r="D10" s="2"/>
    </row>
    <row r="11" spans="1:4" x14ac:dyDescent="0.35">
      <c r="A11" s="25"/>
      <c r="B11" s="63" t="s">
        <v>126</v>
      </c>
      <c r="C11" s="54"/>
      <c r="D11" s="30">
        <f>'02 Plot Groundworks'!F39</f>
        <v>14410.650000000001</v>
      </c>
    </row>
    <row r="12" spans="1:4" ht="15.75" customHeight="1" x14ac:dyDescent="0.35">
      <c r="A12" s="25"/>
      <c r="B12" s="63"/>
      <c r="C12" s="54"/>
      <c r="D12" s="2"/>
    </row>
    <row r="13" spans="1:4" x14ac:dyDescent="0.35">
      <c r="A13" s="25"/>
      <c r="B13" s="63" t="s">
        <v>523</v>
      </c>
      <c r="C13" s="54"/>
      <c r="D13" s="30">
        <f>SUM('03 External Groundworks'!F270,'03 External Groundworks'!F200,'03 External Groundworks'!F129,'03 External Groundworks'!F49)</f>
        <v>159217.89718</v>
      </c>
    </row>
    <row r="14" spans="1:4" x14ac:dyDescent="0.35">
      <c r="A14" s="25"/>
      <c r="B14" s="63"/>
      <c r="C14" s="54"/>
      <c r="D14" s="2"/>
    </row>
    <row r="15" spans="1:4" x14ac:dyDescent="0.35">
      <c r="A15" s="25"/>
      <c r="B15" s="63" t="s">
        <v>524</v>
      </c>
      <c r="C15" s="54"/>
      <c r="D15" s="30">
        <f>SUM('04 External Facade'!F59,'04 External Facade'!F92)</f>
        <v>132676.435</v>
      </c>
    </row>
    <row r="16" spans="1:4" x14ac:dyDescent="0.35">
      <c r="A16" s="25"/>
      <c r="B16" s="63"/>
      <c r="C16" s="54"/>
      <c r="D16" s="2"/>
    </row>
    <row r="17" spans="1:4" x14ac:dyDescent="0.35">
      <c r="A17" s="25"/>
      <c r="B17" s="63" t="s">
        <v>525</v>
      </c>
      <c r="C17" s="54"/>
      <c r="D17" s="30">
        <f>SUM('05 Drylining, Screed &amp; Render'!F44,'05 Drylining, Screed &amp; Render'!F74,'05 Drylining, Screed &amp; Render'!F115,'05 Drylining, Screed &amp; Render'!F146)</f>
        <v>140587.77519000001</v>
      </c>
    </row>
    <row r="18" spans="1:4" x14ac:dyDescent="0.35">
      <c r="A18" s="25"/>
      <c r="B18" s="63"/>
      <c r="C18" s="54"/>
      <c r="D18" s="2"/>
    </row>
    <row r="19" spans="1:4" x14ac:dyDescent="0.35">
      <c r="A19" s="25"/>
      <c r="B19" s="63" t="s">
        <v>526</v>
      </c>
      <c r="C19" s="54"/>
      <c r="D19" s="30">
        <f>SUM('06 M&amp;E'!F38)</f>
        <v>168400</v>
      </c>
    </row>
    <row r="20" spans="1:4" x14ac:dyDescent="0.35">
      <c r="A20" s="25"/>
      <c r="B20" s="63"/>
      <c r="C20" s="54"/>
      <c r="D20" s="2"/>
    </row>
    <row r="21" spans="1:4" x14ac:dyDescent="0.35">
      <c r="A21" s="25"/>
      <c r="B21" s="63" t="s">
        <v>528</v>
      </c>
      <c r="C21" s="54"/>
      <c r="D21" s="30">
        <f>SUM('07 Carpentry'!F45,'07 Carpentry'!F81,'07 Carpentry'!F118,'07 Carpentry'!F161,'07 Carpentry'!F197,'07 Carpentry'!F234)</f>
        <v>49353.919999999998</v>
      </c>
    </row>
    <row r="22" spans="1:4" x14ac:dyDescent="0.35">
      <c r="A22" s="25"/>
      <c r="B22" s="63"/>
      <c r="C22" s="54"/>
      <c r="D22" s="2"/>
    </row>
    <row r="23" spans="1:4" x14ac:dyDescent="0.35">
      <c r="A23" s="25"/>
      <c r="B23" s="63" t="s">
        <v>529</v>
      </c>
      <c r="C23" s="54"/>
      <c r="D23" s="30">
        <f>SUM('08 Roof Coverings'!F38)</f>
        <v>67381.942500000005</v>
      </c>
    </row>
    <row r="24" spans="1:4" x14ac:dyDescent="0.35">
      <c r="A24" s="25"/>
      <c r="B24" s="46"/>
      <c r="C24" s="54"/>
      <c r="D24" s="30"/>
    </row>
    <row r="25" spans="1:4" ht="19.5" customHeight="1" x14ac:dyDescent="0.35">
      <c r="A25" s="25"/>
      <c r="B25" s="46" t="s">
        <v>530</v>
      </c>
      <c r="C25" s="54"/>
      <c r="D25" s="30">
        <f>SUM('09 Decorating &amp; Other Finishing'!F57,'09 Decorating &amp; Other Finishing'!F97)</f>
        <v>199797.80000000002</v>
      </c>
    </row>
    <row r="26" spans="1:4" x14ac:dyDescent="0.35">
      <c r="A26" s="25"/>
      <c r="B26" s="46"/>
      <c r="C26" s="53"/>
      <c r="D26" s="30"/>
    </row>
    <row r="27" spans="1:4" ht="19.5" customHeight="1" x14ac:dyDescent="0.35">
      <c r="A27" s="25"/>
      <c r="B27" s="46" t="s">
        <v>531</v>
      </c>
      <c r="C27" s="54"/>
      <c r="D27" s="30">
        <f>SUM('10 Materials'!F66,'10 Materials'!F130)</f>
        <v>267184.45</v>
      </c>
    </row>
    <row r="28" spans="1:4" ht="19.5" customHeight="1" x14ac:dyDescent="0.35">
      <c r="A28" s="25"/>
      <c r="B28" s="46"/>
      <c r="C28" s="54"/>
      <c r="D28" s="30"/>
    </row>
    <row r="29" spans="1:4" ht="19.5" customHeight="1" x14ac:dyDescent="0.35">
      <c r="A29" s="25"/>
      <c r="B29" s="46" t="s">
        <v>532</v>
      </c>
      <c r="C29" s="54"/>
      <c r="D29" s="30">
        <f>SUM('11 Landscaping'!F64)</f>
        <v>8344</v>
      </c>
    </row>
    <row r="30" spans="1:4" ht="19.5" customHeight="1" x14ac:dyDescent="0.35">
      <c r="A30" s="25"/>
      <c r="B30" s="46"/>
      <c r="C30" s="54"/>
      <c r="D30" s="30"/>
    </row>
    <row r="31" spans="1:4" ht="19.5" customHeight="1" x14ac:dyDescent="0.35">
      <c r="A31" s="25"/>
      <c r="B31" s="46" t="s">
        <v>533</v>
      </c>
      <c r="C31" s="54"/>
      <c r="D31" s="30">
        <f>SUM('12 Walls &amp; Fences'!F64)</f>
        <v>41894</v>
      </c>
    </row>
    <row r="32" spans="1:4" x14ac:dyDescent="0.35">
      <c r="A32" s="25"/>
      <c r="B32" s="2"/>
      <c r="C32" s="53"/>
      <c r="D32" s="58"/>
    </row>
    <row r="33" spans="1:6" x14ac:dyDescent="0.35">
      <c r="A33" s="25"/>
      <c r="B33" s="160" t="s">
        <v>41</v>
      </c>
      <c r="C33" s="54"/>
      <c r="D33" s="30">
        <f>SUM(D9:D32)</f>
        <v>1601648.8698700001</v>
      </c>
      <c r="F33" s="36"/>
    </row>
    <row r="34" spans="1:6" x14ac:dyDescent="0.35">
      <c r="A34" s="25"/>
      <c r="B34" s="46"/>
      <c r="C34" s="54"/>
      <c r="D34" s="62"/>
    </row>
    <row r="35" spans="1:6" x14ac:dyDescent="0.45">
      <c r="A35" s="25"/>
      <c r="B35" s="161" t="s">
        <v>119</v>
      </c>
      <c r="C35" s="162">
        <v>0.15</v>
      </c>
      <c r="D35" s="30">
        <f>D33*C35</f>
        <v>240247.33048050001</v>
      </c>
    </row>
    <row r="36" spans="1:6" x14ac:dyDescent="0.35">
      <c r="A36" s="25"/>
      <c r="B36" s="46"/>
      <c r="C36" s="54"/>
      <c r="D36" s="62"/>
    </row>
    <row r="37" spans="1:6" x14ac:dyDescent="0.35">
      <c r="A37" s="25"/>
      <c r="B37" s="160" t="s">
        <v>470</v>
      </c>
      <c r="C37" s="54">
        <f>SUM('09 Decorating &amp; Other Finishing'!C10,'09 Decorating &amp; Other Finishing'!C14)</f>
        <v>10142</v>
      </c>
      <c r="D37" s="62"/>
    </row>
    <row r="38" spans="1:6" x14ac:dyDescent="0.35">
      <c r="A38" s="25"/>
      <c r="B38" s="46"/>
      <c r="C38" s="54"/>
      <c r="D38" s="62"/>
    </row>
    <row r="39" spans="1:6" x14ac:dyDescent="0.35">
      <c r="A39" s="25"/>
      <c r="B39" s="160" t="s">
        <v>539</v>
      </c>
      <c r="C39" s="362">
        <f>SUM(D11,D15,D17,D19,D21,D23,D25,D27,'01 Prelims'!E45)/C37</f>
        <v>109.22825603332676</v>
      </c>
      <c r="D39" s="62"/>
    </row>
    <row r="40" spans="1:6" x14ac:dyDescent="0.35">
      <c r="A40" s="25"/>
      <c r="B40" s="46"/>
      <c r="C40" s="54"/>
      <c r="D40" s="62"/>
    </row>
    <row r="41" spans="1:6" x14ac:dyDescent="0.35">
      <c r="A41" s="25"/>
      <c r="B41" s="160" t="s">
        <v>534</v>
      </c>
      <c r="C41" s="362">
        <f>SUM(D9:D31)/C37</f>
        <v>157.92238906231512</v>
      </c>
      <c r="D41" s="62"/>
    </row>
    <row r="42" spans="1:6" x14ac:dyDescent="0.35">
      <c r="A42" s="25"/>
      <c r="B42" s="46"/>
      <c r="C42" s="54"/>
      <c r="D42" s="62"/>
    </row>
    <row r="43" spans="1:6" x14ac:dyDescent="0.35">
      <c r="A43" s="25"/>
      <c r="B43" s="2"/>
      <c r="C43" s="53"/>
      <c r="D43" s="2"/>
    </row>
    <row r="44" spans="1:6" x14ac:dyDescent="0.35">
      <c r="A44" s="25"/>
      <c r="B44" s="2"/>
      <c r="C44" s="53"/>
      <c r="D44" s="45"/>
    </row>
    <row r="45" spans="1:6" x14ac:dyDescent="0.35">
      <c r="A45" s="4"/>
      <c r="B45" s="6"/>
      <c r="C45" s="6"/>
      <c r="D45" s="58"/>
    </row>
    <row r="46" spans="1:6" x14ac:dyDescent="0.35">
      <c r="A46" s="46"/>
      <c r="B46" s="48" t="s">
        <v>3</v>
      </c>
      <c r="C46" s="48" t="s">
        <v>20</v>
      </c>
      <c r="D46" s="55">
        <f>SUM(D33:D44)</f>
        <v>1841896.2003505002</v>
      </c>
    </row>
    <row r="47" spans="1:6" x14ac:dyDescent="0.35">
      <c r="A47" s="47"/>
      <c r="B47" s="49"/>
      <c r="C47" s="49"/>
      <c r="D47" s="45"/>
    </row>
  </sheetData>
  <mergeCells count="1">
    <mergeCell ref="C2:D2"/>
  </mergeCells>
  <phoneticPr fontId="6" type="noConversion"/>
  <pageMargins left="0.55118110236220474" right="0.19685039370078741" top="0.35433070866141736" bottom="0.55118110236220474" header="0.19685039370078741" footer="0.39370078740157483"/>
  <pageSetup paperSize="9" scale="99" orientation="portrait" r:id="rId1"/>
  <headerFooter alignWithMargins="0">
    <oddFooter>&amp;C&amp;"Times New Roman,Regular"Summary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C27A-9700-42AE-925A-529F4FA6214D}">
  <dimension ref="B2:C25"/>
  <sheetViews>
    <sheetView showGridLines="0" zoomScaleNormal="100" zoomScaleSheetLayoutView="115" workbookViewId="0">
      <pane xSplit="1" ySplit="4" topLeftCell="B14" activePane="bottomRight" state="frozen"/>
      <selection pane="topRight" activeCell="B1" sqref="B1"/>
      <selection pane="bottomLeft" activeCell="A5" sqref="A5"/>
      <selection pane="bottomRight" activeCell="A25" sqref="A25:XFD25"/>
    </sheetView>
  </sheetViews>
  <sheetFormatPr defaultColWidth="9.1328125" defaultRowHeight="12.75" x14ac:dyDescent="0.35"/>
  <cols>
    <col min="1" max="1" width="2.1328125" style="260" customWidth="1"/>
    <col min="2" max="2" width="5.53125" style="260" customWidth="1"/>
    <col min="3" max="3" width="100.53125" style="260" customWidth="1"/>
    <col min="4" max="16384" width="9.1328125" style="260"/>
  </cols>
  <sheetData>
    <row r="2" spans="2:3" ht="31.5" customHeight="1" x14ac:dyDescent="0.35">
      <c r="B2" s="366" t="s">
        <v>117</v>
      </c>
      <c r="C2" s="367"/>
    </row>
    <row r="3" spans="2:3" ht="13.9" x14ac:dyDescent="0.35">
      <c r="B3" s="261"/>
      <c r="C3" s="261"/>
    </row>
    <row r="4" spans="2:3" ht="13.9" x14ac:dyDescent="0.35">
      <c r="B4" s="262" t="s">
        <v>84</v>
      </c>
      <c r="C4" s="263" t="s">
        <v>85</v>
      </c>
    </row>
    <row r="5" spans="2:3" ht="13.9" x14ac:dyDescent="0.35">
      <c r="B5" s="266"/>
      <c r="C5" s="264" t="s">
        <v>86</v>
      </c>
    </row>
    <row r="6" spans="2:3" ht="27.75" x14ac:dyDescent="0.35">
      <c r="B6" s="266"/>
      <c r="C6" s="265" t="s">
        <v>87</v>
      </c>
    </row>
    <row r="7" spans="2:3" ht="13.9" x14ac:dyDescent="0.35">
      <c r="B7" s="266"/>
      <c r="C7" s="265" t="s">
        <v>537</v>
      </c>
    </row>
    <row r="8" spans="2:3" ht="27.75" x14ac:dyDescent="0.35">
      <c r="B8" s="266"/>
      <c r="C8" s="265" t="s">
        <v>538</v>
      </c>
    </row>
    <row r="9" spans="2:3" ht="27.75" x14ac:dyDescent="0.35">
      <c r="B9" s="266"/>
      <c r="C9" s="265" t="s">
        <v>543</v>
      </c>
    </row>
    <row r="10" spans="2:3" ht="27.75" x14ac:dyDescent="0.35">
      <c r="B10" s="266"/>
      <c r="C10" s="265" t="s">
        <v>88</v>
      </c>
    </row>
    <row r="11" spans="2:3" ht="27.75" x14ac:dyDescent="0.35">
      <c r="B11" s="266"/>
      <c r="C11" s="265" t="s">
        <v>89</v>
      </c>
    </row>
    <row r="12" spans="2:3" ht="32.25" customHeight="1" x14ac:dyDescent="0.35">
      <c r="B12" s="266"/>
      <c r="C12" s="264" t="s">
        <v>113</v>
      </c>
    </row>
    <row r="13" spans="2:3" ht="18.95" customHeight="1" x14ac:dyDescent="0.35">
      <c r="B13" s="266"/>
      <c r="C13" s="264" t="s">
        <v>535</v>
      </c>
    </row>
    <row r="14" spans="2:3" ht="54" customHeight="1" x14ac:dyDescent="0.35">
      <c r="B14" s="266"/>
      <c r="C14" s="265" t="s">
        <v>90</v>
      </c>
    </row>
    <row r="15" spans="2:3" ht="63" customHeight="1" x14ac:dyDescent="0.35">
      <c r="B15" s="266"/>
      <c r="C15" s="265" t="s">
        <v>536</v>
      </c>
    </row>
    <row r="16" spans="2:3" ht="41.65" x14ac:dyDescent="0.35">
      <c r="B16" s="266"/>
      <c r="C16" s="265" t="s">
        <v>91</v>
      </c>
    </row>
    <row r="17" spans="2:3" ht="27.75" x14ac:dyDescent="0.35">
      <c r="B17" s="266"/>
      <c r="C17" s="265" t="s">
        <v>92</v>
      </c>
    </row>
    <row r="18" spans="2:3" ht="17.45" customHeight="1" x14ac:dyDescent="0.35">
      <c r="B18" s="266"/>
      <c r="C18" s="265" t="s">
        <v>93</v>
      </c>
    </row>
    <row r="19" spans="2:3" ht="27.75" x14ac:dyDescent="0.35">
      <c r="B19" s="266"/>
      <c r="C19" s="265" t="s">
        <v>94</v>
      </c>
    </row>
    <row r="20" spans="2:3" ht="27.75" x14ac:dyDescent="0.35">
      <c r="B20" s="266"/>
      <c r="C20" s="265" t="s">
        <v>95</v>
      </c>
    </row>
    <row r="21" spans="2:3" ht="27.75" x14ac:dyDescent="0.35">
      <c r="B21" s="266"/>
      <c r="C21" s="265" t="s">
        <v>96</v>
      </c>
    </row>
    <row r="22" spans="2:3" ht="27.75" x14ac:dyDescent="0.35">
      <c r="B22" s="266"/>
      <c r="C22" s="265" t="s">
        <v>97</v>
      </c>
    </row>
    <row r="23" spans="2:3" ht="27.75" x14ac:dyDescent="0.35">
      <c r="B23" s="266"/>
      <c r="C23" s="265" t="s">
        <v>98</v>
      </c>
    </row>
    <row r="24" spans="2:3" ht="27.75" x14ac:dyDescent="0.35">
      <c r="B24" s="266"/>
      <c r="C24" s="265" t="s">
        <v>99</v>
      </c>
    </row>
    <row r="25" spans="2:3" ht="13.9" x14ac:dyDescent="0.35">
      <c r="B25" s="266"/>
      <c r="C25" s="265" t="s">
        <v>100</v>
      </c>
    </row>
  </sheetData>
  <mergeCells count="1">
    <mergeCell ref="B2:C2"/>
  </mergeCells>
  <pageMargins left="0.7" right="0.7" top="0.75" bottom="0.75" header="0.3" footer="0.3"/>
  <pageSetup paperSize="9" scale="77"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792D-3716-4594-9BA7-6293B9651419}">
  <sheetPr>
    <tabColor theme="0"/>
    <pageSetUpPr fitToPage="1"/>
  </sheetPr>
  <dimension ref="A2:S66"/>
  <sheetViews>
    <sheetView view="pageBreakPreview" topLeftCell="A39" zoomScaleNormal="100" zoomScaleSheetLayoutView="100" workbookViewId="0">
      <selection activeCell="D48" sqref="D48"/>
    </sheetView>
  </sheetViews>
  <sheetFormatPr defaultColWidth="9.1328125" defaultRowHeight="13.9" x14ac:dyDescent="0.35"/>
  <cols>
    <col min="1" max="1" width="70.53125" style="212" customWidth="1"/>
    <col min="2" max="3" width="10.53125" style="212" customWidth="1"/>
    <col min="4" max="4" width="12.796875" style="214" customWidth="1"/>
    <col min="5" max="5" width="15.796875" style="214" customWidth="1"/>
    <col min="6" max="6" width="28.86328125" style="215" customWidth="1"/>
    <col min="7" max="7" width="13.46484375" style="215" bestFit="1" customWidth="1"/>
    <col min="8" max="8" width="8.796875" style="215" bestFit="1" customWidth="1"/>
    <col min="9" max="9" width="13.46484375" style="215" bestFit="1" customWidth="1"/>
    <col min="10" max="19" width="9.1328125" style="215"/>
    <col min="20" max="16384" width="9.1328125" style="212"/>
  </cols>
  <sheetData>
    <row r="2" spans="1:5" ht="15" x14ac:dyDescent="0.35">
      <c r="A2" s="210" t="str">
        <f>Summary!A2</f>
        <v>The Former Police Station, Haslingden</v>
      </c>
      <c r="B2" s="211"/>
      <c r="D2" s="213" t="s">
        <v>43</v>
      </c>
    </row>
    <row r="4" spans="1:5" x14ac:dyDescent="0.35">
      <c r="A4" s="216" t="s">
        <v>22</v>
      </c>
      <c r="B4" s="217" t="s">
        <v>26</v>
      </c>
      <c r="C4" s="217" t="s">
        <v>23</v>
      </c>
      <c r="D4" s="218" t="s">
        <v>24</v>
      </c>
      <c r="E4" s="219" t="s">
        <v>20</v>
      </c>
    </row>
    <row r="5" spans="1:5" x14ac:dyDescent="0.35">
      <c r="A5" s="220" t="s">
        <v>44</v>
      </c>
      <c r="B5" s="221">
        <v>48</v>
      </c>
      <c r="C5" s="221" t="s">
        <v>45</v>
      </c>
      <c r="D5" s="222"/>
      <c r="E5" s="223"/>
    </row>
    <row r="6" spans="1:5" x14ac:dyDescent="0.35">
      <c r="A6" s="224"/>
      <c r="B6" s="225"/>
      <c r="C6" s="225"/>
      <c r="D6" s="226"/>
      <c r="E6" s="227"/>
    </row>
    <row r="7" spans="1:5" x14ac:dyDescent="0.35">
      <c r="A7" s="228" t="s">
        <v>46</v>
      </c>
      <c r="B7" s="229"/>
      <c r="C7" s="229"/>
      <c r="D7" s="230"/>
      <c r="E7" s="223"/>
    </row>
    <row r="8" spans="1:5" x14ac:dyDescent="0.35">
      <c r="A8" s="231" t="s">
        <v>47</v>
      </c>
      <c r="B8" s="232">
        <v>44</v>
      </c>
      <c r="C8" s="233" t="s">
        <v>45</v>
      </c>
      <c r="D8" s="232">
        <v>750</v>
      </c>
      <c r="E8" s="234">
        <f t="shared" ref="E8:E14" si="0">ROUND(B8 * D8,2)</f>
        <v>33000</v>
      </c>
    </row>
    <row r="9" spans="1:5" x14ac:dyDescent="0.35">
      <c r="A9" s="231" t="s">
        <v>48</v>
      </c>
      <c r="B9" s="232">
        <f>$B$5</f>
        <v>48</v>
      </c>
      <c r="C9" s="233" t="s">
        <v>45</v>
      </c>
      <c r="D9" s="232">
        <v>1750</v>
      </c>
      <c r="E9" s="234">
        <f t="shared" si="0"/>
        <v>84000</v>
      </c>
    </row>
    <row r="10" spans="1:5" x14ac:dyDescent="0.35">
      <c r="A10" s="231" t="s">
        <v>49</v>
      </c>
      <c r="B10" s="232">
        <f>$B$5</f>
        <v>48</v>
      </c>
      <c r="C10" s="233" t="s">
        <v>45</v>
      </c>
      <c r="D10" s="232">
        <v>750</v>
      </c>
      <c r="E10" s="234">
        <f t="shared" si="0"/>
        <v>36000</v>
      </c>
    </row>
    <row r="11" spans="1:5" x14ac:dyDescent="0.35">
      <c r="A11" s="231" t="s">
        <v>101</v>
      </c>
      <c r="B11" s="232">
        <v>1</v>
      </c>
      <c r="C11" s="233" t="s">
        <v>50</v>
      </c>
      <c r="D11" s="232">
        <v>0</v>
      </c>
      <c r="E11" s="234">
        <f t="shared" si="0"/>
        <v>0</v>
      </c>
    </row>
    <row r="12" spans="1:5" x14ac:dyDescent="0.35">
      <c r="A12" s="231" t="s">
        <v>52</v>
      </c>
      <c r="B12" s="232">
        <f>$B$5</f>
        <v>48</v>
      </c>
      <c r="C12" s="233" t="s">
        <v>45</v>
      </c>
      <c r="D12" s="232">
        <v>500</v>
      </c>
      <c r="E12" s="234">
        <f t="shared" si="0"/>
        <v>24000</v>
      </c>
    </row>
    <row r="13" spans="1:5" x14ac:dyDescent="0.35">
      <c r="A13" s="231" t="s">
        <v>130</v>
      </c>
      <c r="B13" s="232">
        <v>40</v>
      </c>
      <c r="C13" s="233" t="s">
        <v>45</v>
      </c>
      <c r="D13" s="232">
        <v>880</v>
      </c>
      <c r="E13" s="234">
        <f t="shared" si="0"/>
        <v>35200</v>
      </c>
    </row>
    <row r="14" spans="1:5" x14ac:dyDescent="0.35">
      <c r="A14" s="231" t="s">
        <v>346</v>
      </c>
      <c r="B14" s="232">
        <v>2</v>
      </c>
      <c r="C14" s="233" t="s">
        <v>45</v>
      </c>
      <c r="D14" s="232">
        <v>1500</v>
      </c>
      <c r="E14" s="234">
        <f t="shared" si="0"/>
        <v>3000</v>
      </c>
    </row>
    <row r="15" spans="1:5" x14ac:dyDescent="0.35">
      <c r="A15" s="235"/>
      <c r="B15" s="236"/>
      <c r="C15" s="237"/>
      <c r="D15" s="236"/>
      <c r="E15" s="238"/>
    </row>
    <row r="16" spans="1:5" x14ac:dyDescent="0.35">
      <c r="A16" s="239" t="s">
        <v>53</v>
      </c>
      <c r="B16" s="240"/>
      <c r="C16" s="240"/>
      <c r="D16" s="226"/>
      <c r="E16" s="227"/>
    </row>
    <row r="17" spans="1:5" ht="27.75" x14ac:dyDescent="0.4">
      <c r="A17" s="231" t="s">
        <v>102</v>
      </c>
      <c r="B17" s="267">
        <v>1</v>
      </c>
      <c r="C17" s="267" t="s">
        <v>31</v>
      </c>
      <c r="D17" s="268">
        <v>2220</v>
      </c>
      <c r="E17" s="269">
        <f t="shared" ref="E17" si="1">ROUND(B17 * D17,2)</f>
        <v>2220</v>
      </c>
    </row>
    <row r="18" spans="1:5" ht="27.75" x14ac:dyDescent="0.4">
      <c r="A18" s="231" t="s">
        <v>102</v>
      </c>
      <c r="B18" s="270"/>
      <c r="C18" s="271" t="s">
        <v>45</v>
      </c>
      <c r="D18" s="268"/>
      <c r="E18" s="320" t="s">
        <v>51</v>
      </c>
    </row>
    <row r="19" spans="1:5" x14ac:dyDescent="0.4">
      <c r="A19" s="231" t="s">
        <v>54</v>
      </c>
      <c r="B19" s="270">
        <v>48</v>
      </c>
      <c r="C19" s="233" t="s">
        <v>45</v>
      </c>
      <c r="D19" s="232">
        <v>55</v>
      </c>
      <c r="E19" s="234">
        <f t="shared" ref="E19:E23" si="2">ROUND(B19 * D19,2)</f>
        <v>2640</v>
      </c>
    </row>
    <row r="20" spans="1:5" x14ac:dyDescent="0.35">
      <c r="A20" s="231" t="s">
        <v>103</v>
      </c>
      <c r="B20" s="232">
        <v>48</v>
      </c>
      <c r="C20" s="233" t="s">
        <v>45</v>
      </c>
      <c r="D20" s="232">
        <v>50</v>
      </c>
      <c r="E20" s="234">
        <f t="shared" si="2"/>
        <v>2400</v>
      </c>
    </row>
    <row r="21" spans="1:5" x14ac:dyDescent="0.35">
      <c r="A21" s="231" t="s">
        <v>55</v>
      </c>
      <c r="B21" s="232">
        <v>48</v>
      </c>
      <c r="C21" s="233" t="s">
        <v>45</v>
      </c>
      <c r="D21" s="232">
        <v>20</v>
      </c>
      <c r="E21" s="234">
        <f t="shared" si="2"/>
        <v>960</v>
      </c>
    </row>
    <row r="22" spans="1:5" x14ac:dyDescent="0.35">
      <c r="A22" s="231" t="s">
        <v>56</v>
      </c>
      <c r="B22" s="232">
        <v>48</v>
      </c>
      <c r="C22" s="233" t="s">
        <v>45</v>
      </c>
      <c r="D22" s="232">
        <v>30</v>
      </c>
      <c r="E22" s="234">
        <f t="shared" si="2"/>
        <v>1440</v>
      </c>
    </row>
    <row r="23" spans="1:5" x14ac:dyDescent="0.4">
      <c r="A23" s="231" t="s">
        <v>104</v>
      </c>
      <c r="B23" s="270">
        <v>1</v>
      </c>
      <c r="C23" s="271" t="s">
        <v>31</v>
      </c>
      <c r="D23" s="270">
        <v>1580</v>
      </c>
      <c r="E23" s="269">
        <f t="shared" si="2"/>
        <v>1580</v>
      </c>
    </row>
    <row r="24" spans="1:5" x14ac:dyDescent="0.35">
      <c r="A24" s="231" t="s">
        <v>57</v>
      </c>
      <c r="B24" s="232">
        <v>1</v>
      </c>
      <c r="C24" s="233" t="s">
        <v>31</v>
      </c>
      <c r="D24" s="232">
        <v>1500</v>
      </c>
      <c r="E24" s="234">
        <f>ROUND(B24 * D24,2)</f>
        <v>1500</v>
      </c>
    </row>
    <row r="25" spans="1:5" x14ac:dyDescent="0.35">
      <c r="A25" s="231" t="s">
        <v>58</v>
      </c>
      <c r="B25" s="232">
        <f>$B$5</f>
        <v>48</v>
      </c>
      <c r="C25" s="233" t="s">
        <v>45</v>
      </c>
      <c r="D25" s="232">
        <v>35</v>
      </c>
      <c r="E25" s="234">
        <f>ROUND(B25 * D25,2)</f>
        <v>1680</v>
      </c>
    </row>
    <row r="26" spans="1:5" x14ac:dyDescent="0.35">
      <c r="A26" s="231" t="s">
        <v>59</v>
      </c>
      <c r="B26" s="232">
        <f>$B$5</f>
        <v>48</v>
      </c>
      <c r="C26" s="233" t="s">
        <v>45</v>
      </c>
      <c r="D26" s="232">
        <v>15</v>
      </c>
      <c r="E26" s="234">
        <f>ROUND(B26 * D26,2)</f>
        <v>720</v>
      </c>
    </row>
    <row r="27" spans="1:5" x14ac:dyDescent="0.35">
      <c r="A27" s="231" t="s">
        <v>129</v>
      </c>
      <c r="B27" s="232"/>
      <c r="C27" s="233" t="s">
        <v>45</v>
      </c>
      <c r="D27" s="232"/>
      <c r="E27" s="234" t="s">
        <v>51</v>
      </c>
    </row>
    <row r="28" spans="1:5" x14ac:dyDescent="0.35">
      <c r="A28" s="231" t="s">
        <v>60</v>
      </c>
      <c r="B28" s="232">
        <v>1</v>
      </c>
      <c r="C28" s="233" t="s">
        <v>31</v>
      </c>
      <c r="D28" s="232">
        <v>500</v>
      </c>
      <c r="E28" s="234">
        <f>ROUND(B28 * D28,2)</f>
        <v>500</v>
      </c>
    </row>
    <row r="29" spans="1:5" x14ac:dyDescent="0.35">
      <c r="A29" s="231" t="s">
        <v>61</v>
      </c>
      <c r="B29" s="232"/>
      <c r="C29" s="233" t="s">
        <v>31</v>
      </c>
      <c r="D29" s="232"/>
      <c r="E29" s="234" t="s">
        <v>51</v>
      </c>
    </row>
    <row r="30" spans="1:5" x14ac:dyDescent="0.35">
      <c r="A30" s="241"/>
      <c r="B30" s="236"/>
      <c r="C30" s="237"/>
      <c r="D30" s="236"/>
      <c r="E30" s="238"/>
    </row>
    <row r="31" spans="1:5" x14ac:dyDescent="0.35">
      <c r="A31" s="239" t="s">
        <v>62</v>
      </c>
      <c r="B31" s="240"/>
      <c r="C31" s="240"/>
      <c r="D31" s="226"/>
      <c r="E31" s="227"/>
    </row>
    <row r="32" spans="1:5" x14ac:dyDescent="0.35">
      <c r="A32" s="231" t="s">
        <v>63</v>
      </c>
      <c r="B32" s="232">
        <v>1</v>
      </c>
      <c r="C32" s="233" t="s">
        <v>31</v>
      </c>
      <c r="D32" s="232">
        <v>2400</v>
      </c>
      <c r="E32" s="234">
        <f>ROUND(B32 * D32,2)</f>
        <v>2400</v>
      </c>
    </row>
    <row r="33" spans="1:5" x14ac:dyDescent="0.35">
      <c r="A33" s="231" t="s">
        <v>64</v>
      </c>
      <c r="B33" s="232">
        <f>$B$5</f>
        <v>48</v>
      </c>
      <c r="C33" s="233" t="s">
        <v>45</v>
      </c>
      <c r="D33" s="232">
        <v>35</v>
      </c>
      <c r="E33" s="234">
        <f>ROUND(B33 * D33,2)</f>
        <v>1680</v>
      </c>
    </row>
    <row r="34" spans="1:5" x14ac:dyDescent="0.35">
      <c r="A34" s="231" t="s">
        <v>65</v>
      </c>
      <c r="B34" s="232">
        <v>1</v>
      </c>
      <c r="C34" s="233" t="s">
        <v>31</v>
      </c>
      <c r="D34" s="232">
        <v>600</v>
      </c>
      <c r="E34" s="234">
        <f>ROUND(B34 * D34,2)</f>
        <v>600</v>
      </c>
    </row>
    <row r="35" spans="1:5" x14ac:dyDescent="0.35">
      <c r="A35" s="231" t="s">
        <v>66</v>
      </c>
      <c r="B35" s="232">
        <v>1</v>
      </c>
      <c r="C35" s="233" t="s">
        <v>31</v>
      </c>
      <c r="D35" s="232">
        <v>1500</v>
      </c>
      <c r="E35" s="234">
        <f>ROUND(B35 * D35,2)</f>
        <v>1500</v>
      </c>
    </row>
    <row r="36" spans="1:5" x14ac:dyDescent="0.35">
      <c r="A36" s="241"/>
      <c r="B36" s="236"/>
      <c r="C36" s="237"/>
      <c r="D36" s="236"/>
      <c r="E36" s="238"/>
    </row>
    <row r="37" spans="1:5" x14ac:dyDescent="0.35">
      <c r="A37" s="239" t="s">
        <v>67</v>
      </c>
      <c r="B37" s="240"/>
      <c r="C37" s="240"/>
      <c r="D37" s="226"/>
      <c r="E37" s="227"/>
    </row>
    <row r="38" spans="1:5" x14ac:dyDescent="0.35">
      <c r="A38" s="231" t="s">
        <v>68</v>
      </c>
      <c r="B38" s="232">
        <f>$B$5</f>
        <v>48</v>
      </c>
      <c r="C38" s="233" t="s">
        <v>45</v>
      </c>
      <c r="D38" s="232">
        <v>40</v>
      </c>
      <c r="E38" s="234">
        <f>ROUND(B38 * D38,2)</f>
        <v>1920</v>
      </c>
    </row>
    <row r="39" spans="1:5" x14ac:dyDescent="0.35">
      <c r="A39" s="231" t="s">
        <v>142</v>
      </c>
      <c r="B39" s="232">
        <f>B13</f>
        <v>40</v>
      </c>
      <c r="C39" s="233" t="s">
        <v>45</v>
      </c>
      <c r="D39" s="232">
        <v>315</v>
      </c>
      <c r="E39" s="234">
        <f>ROUND(B39 * D39,2)</f>
        <v>12600</v>
      </c>
    </row>
    <row r="40" spans="1:5" x14ac:dyDescent="0.35">
      <c r="A40" s="235"/>
      <c r="B40" s="236"/>
      <c r="C40" s="237"/>
      <c r="D40" s="236"/>
      <c r="E40" s="238"/>
    </row>
    <row r="41" spans="1:5" x14ac:dyDescent="0.35">
      <c r="A41" s="239" t="s">
        <v>69</v>
      </c>
      <c r="B41" s="240"/>
      <c r="C41" s="240"/>
      <c r="D41" s="226"/>
      <c r="E41" s="227"/>
    </row>
    <row r="42" spans="1:5" x14ac:dyDescent="0.35">
      <c r="A42" s="231" t="s">
        <v>131</v>
      </c>
      <c r="B42" s="232">
        <v>1</v>
      </c>
      <c r="C42" s="233" t="s">
        <v>50</v>
      </c>
      <c r="D42" s="232">
        <v>3500</v>
      </c>
      <c r="E42" s="234">
        <f>ROUND(B42 * D42,2)</f>
        <v>3500</v>
      </c>
    </row>
    <row r="43" spans="1:5" x14ac:dyDescent="0.35">
      <c r="A43" s="231" t="s">
        <v>70</v>
      </c>
      <c r="B43" s="232">
        <v>1</v>
      </c>
      <c r="C43" s="233" t="s">
        <v>50</v>
      </c>
      <c r="D43" s="232">
        <v>0</v>
      </c>
      <c r="E43" s="234">
        <f>ROUND(B43 * D43,2)</f>
        <v>0</v>
      </c>
    </row>
    <row r="44" spans="1:5" x14ac:dyDescent="0.35">
      <c r="A44" s="231" t="s">
        <v>71</v>
      </c>
      <c r="B44" s="232">
        <v>1</v>
      </c>
      <c r="C44" s="233" t="s">
        <v>31</v>
      </c>
      <c r="D44" s="232">
        <v>1000</v>
      </c>
      <c r="E44" s="234">
        <f>ROUND(B44 * D44,2)</f>
        <v>1000</v>
      </c>
    </row>
    <row r="45" spans="1:5" x14ac:dyDescent="0.35">
      <c r="A45" s="231" t="s">
        <v>466</v>
      </c>
      <c r="B45" s="232">
        <v>8</v>
      </c>
      <c r="C45" s="233" t="s">
        <v>430</v>
      </c>
      <c r="D45" s="232">
        <v>8500</v>
      </c>
      <c r="E45" s="234">
        <f>ROUND(B45 * D45,2)</f>
        <v>68000</v>
      </c>
    </row>
    <row r="46" spans="1:5" x14ac:dyDescent="0.35">
      <c r="A46" s="235"/>
      <c r="B46" s="236"/>
      <c r="C46" s="237"/>
      <c r="D46" s="236"/>
      <c r="E46" s="238"/>
    </row>
    <row r="47" spans="1:5" x14ac:dyDescent="0.35">
      <c r="A47" s="239" t="s">
        <v>72</v>
      </c>
      <c r="B47" s="240"/>
      <c r="C47" s="240"/>
      <c r="D47" s="226"/>
      <c r="E47" s="227"/>
    </row>
    <row r="48" spans="1:5" x14ac:dyDescent="0.35">
      <c r="A48" s="231" t="s">
        <v>73</v>
      </c>
      <c r="B48" s="232">
        <f>4*8</f>
        <v>32</v>
      </c>
      <c r="C48" s="233" t="s">
        <v>29</v>
      </c>
      <c r="D48" s="232">
        <v>375</v>
      </c>
      <c r="E48" s="234">
        <f>ROUND(B48 * D48,2)</f>
        <v>12000</v>
      </c>
    </row>
    <row r="49" spans="1:5" x14ac:dyDescent="0.35">
      <c r="A49" s="231" t="s">
        <v>74</v>
      </c>
      <c r="B49" s="232">
        <v>1</v>
      </c>
      <c r="C49" s="233" t="s">
        <v>31</v>
      </c>
      <c r="D49" s="232">
        <v>2000</v>
      </c>
      <c r="E49" s="234">
        <f>ROUND(B49 * D49,2)</f>
        <v>2000</v>
      </c>
    </row>
    <row r="50" spans="1:5" x14ac:dyDescent="0.35">
      <c r="A50" s="231" t="s">
        <v>75</v>
      </c>
      <c r="B50" s="232">
        <v>1</v>
      </c>
      <c r="C50" s="233" t="s">
        <v>31</v>
      </c>
      <c r="D50" s="232">
        <v>1800</v>
      </c>
      <c r="E50" s="234">
        <f>ROUND(B50 * D50,2)</f>
        <v>1800</v>
      </c>
    </row>
    <row r="51" spans="1:5" x14ac:dyDescent="0.35">
      <c r="A51" s="231" t="s">
        <v>76</v>
      </c>
      <c r="B51" s="232">
        <v>1</v>
      </c>
      <c r="C51" s="233" t="s">
        <v>31</v>
      </c>
      <c r="D51" s="232">
        <v>500</v>
      </c>
      <c r="E51" s="234">
        <f>ROUND(B51 * D51,2)</f>
        <v>500</v>
      </c>
    </row>
    <row r="52" spans="1:5" x14ac:dyDescent="0.35">
      <c r="A52" s="235"/>
      <c r="B52" s="236"/>
      <c r="C52" s="237"/>
      <c r="D52" s="236"/>
      <c r="E52" s="238"/>
    </row>
    <row r="53" spans="1:5" x14ac:dyDescent="0.35">
      <c r="A53" s="239" t="s">
        <v>77</v>
      </c>
      <c r="B53" s="240"/>
      <c r="C53" s="240"/>
      <c r="D53" s="226"/>
      <c r="E53" s="227"/>
    </row>
    <row r="54" spans="1:5" x14ac:dyDescent="0.35">
      <c r="A54" s="231" t="s">
        <v>78</v>
      </c>
      <c r="B54" s="232">
        <v>1</v>
      </c>
      <c r="C54" s="233" t="s">
        <v>31</v>
      </c>
      <c r="D54" s="232">
        <v>1500</v>
      </c>
      <c r="E54" s="234">
        <f t="shared" ref="E54:E58" si="3">ROUND(B54 * D54,2)</f>
        <v>1500</v>
      </c>
    </row>
    <row r="55" spans="1:5" x14ac:dyDescent="0.35">
      <c r="A55" s="231" t="s">
        <v>79</v>
      </c>
      <c r="B55" s="232">
        <v>1</v>
      </c>
      <c r="C55" s="233" t="s">
        <v>31</v>
      </c>
      <c r="D55" s="232">
        <v>1440</v>
      </c>
      <c r="E55" s="234">
        <f t="shared" si="3"/>
        <v>1440</v>
      </c>
    </row>
    <row r="56" spans="1:5" x14ac:dyDescent="0.35">
      <c r="A56" s="231" t="s">
        <v>80</v>
      </c>
      <c r="B56" s="232">
        <v>1</v>
      </c>
      <c r="C56" s="233" t="s">
        <v>31</v>
      </c>
      <c r="D56" s="232">
        <v>1600</v>
      </c>
      <c r="E56" s="234">
        <f t="shared" si="3"/>
        <v>1600</v>
      </c>
    </row>
    <row r="57" spans="1:5" x14ac:dyDescent="0.35">
      <c r="A57" s="231" t="s">
        <v>81</v>
      </c>
      <c r="B57" s="232">
        <v>1</v>
      </c>
      <c r="C57" s="233" t="s">
        <v>31</v>
      </c>
      <c r="D57" s="232">
        <v>2000</v>
      </c>
      <c r="E57" s="234">
        <f t="shared" si="3"/>
        <v>2000</v>
      </c>
    </row>
    <row r="58" spans="1:5" x14ac:dyDescent="0.35">
      <c r="A58" s="231" t="s">
        <v>82</v>
      </c>
      <c r="B58" s="232">
        <v>1</v>
      </c>
      <c r="C58" s="233" t="s">
        <v>31</v>
      </c>
      <c r="D58" s="232">
        <v>500</v>
      </c>
      <c r="E58" s="234">
        <f t="shared" si="3"/>
        <v>500</v>
      </c>
    </row>
    <row r="59" spans="1:5" x14ac:dyDescent="0.35">
      <c r="A59" s="235"/>
      <c r="B59" s="236"/>
      <c r="C59" s="237"/>
      <c r="D59" s="236"/>
      <c r="E59" s="238"/>
    </row>
    <row r="60" spans="1:5" x14ac:dyDescent="0.35">
      <c r="A60" s="239" t="s">
        <v>83</v>
      </c>
      <c r="B60" s="240"/>
      <c r="C60" s="240"/>
      <c r="D60" s="226"/>
      <c r="E60" s="227"/>
    </row>
    <row r="61" spans="1:5" x14ac:dyDescent="0.35">
      <c r="A61" s="231" t="s">
        <v>83</v>
      </c>
      <c r="B61" s="232">
        <v>1</v>
      </c>
      <c r="C61" s="233" t="s">
        <v>31</v>
      </c>
      <c r="D61" s="232">
        <v>5020</v>
      </c>
      <c r="E61" s="234">
        <f>ROUND(B61 * D61,2)</f>
        <v>5020</v>
      </c>
    </row>
    <row r="62" spans="1:5" x14ac:dyDescent="0.35">
      <c r="A62" s="235"/>
      <c r="B62" s="236"/>
      <c r="C62" s="237"/>
      <c r="D62" s="236"/>
      <c r="E62" s="238"/>
    </row>
    <row r="63" spans="1:5" x14ac:dyDescent="0.35">
      <c r="A63" s="242"/>
      <c r="B63" s="243"/>
      <c r="C63" s="243"/>
      <c r="D63" s="244" t="s">
        <v>25</v>
      </c>
      <c r="E63" s="245">
        <f>SUM(E8:E62)</f>
        <v>352400</v>
      </c>
    </row>
    <row r="65" spans="1:5" x14ac:dyDescent="0.35">
      <c r="A65" s="212" t="s">
        <v>116</v>
      </c>
      <c r="E65" s="214">
        <f>E63/B5</f>
        <v>7341.666666666667</v>
      </c>
    </row>
    <row r="66" spans="1:5" x14ac:dyDescent="0.35">
      <c r="A66" s="212" t="s">
        <v>115</v>
      </c>
      <c r="D66" s="214">
        <f>48/4.33</f>
        <v>11.085450346420323</v>
      </c>
      <c r="E66" s="214">
        <f>E63/D66</f>
        <v>31789.416666666668</v>
      </c>
    </row>
  </sheetData>
  <pageMargins left="0.7" right="0.7" top="0.75" bottom="0.75" header="0.3" footer="0.3"/>
  <pageSetup paperSize="9" scale="7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
  <sheetViews>
    <sheetView view="pageBreakPreview" topLeftCell="A14" zoomScaleNormal="100" zoomScaleSheetLayoutView="100" workbookViewId="0">
      <selection activeCell="E27" sqref="E27"/>
    </sheetView>
  </sheetViews>
  <sheetFormatPr defaultColWidth="9.1328125" defaultRowHeight="15.4" x14ac:dyDescent="0.45"/>
  <cols>
    <col min="1" max="1" width="6.53125" style="1" customWidth="1"/>
    <col min="2" max="2" width="50.1328125" style="1" customWidth="1"/>
    <col min="3" max="3" width="10.86328125" style="155" customWidth="1"/>
    <col min="4" max="4" width="5.46484375" style="156" customWidth="1"/>
    <col min="5" max="5" width="12.33203125" style="155" customWidth="1"/>
    <col min="6" max="6" width="15.46484375" style="200" customWidth="1"/>
    <col min="7" max="7" width="38" style="36" customWidth="1"/>
    <col min="8" max="16384" width="9.1328125" style="1"/>
  </cols>
  <sheetData>
    <row r="1" spans="1:7" x14ac:dyDescent="0.45">
      <c r="A1" s="4"/>
      <c r="B1" s="5"/>
      <c r="C1" s="137"/>
      <c r="D1" s="138" t="s">
        <v>32</v>
      </c>
      <c r="E1" s="184"/>
      <c r="F1" s="185"/>
      <c r="G1" s="175"/>
    </row>
    <row r="2" spans="1:7" x14ac:dyDescent="0.4">
      <c r="A2" s="13" t="s">
        <v>114</v>
      </c>
      <c r="B2" s="14"/>
      <c r="C2" s="139"/>
      <c r="D2" s="140" t="s">
        <v>128</v>
      </c>
      <c r="E2" s="186"/>
      <c r="F2" s="187" t="s">
        <v>34</v>
      </c>
      <c r="G2" s="178" t="s">
        <v>118</v>
      </c>
    </row>
    <row r="3" spans="1:7" x14ac:dyDescent="0.45">
      <c r="A3" s="10"/>
      <c r="B3" s="11"/>
      <c r="C3" s="167"/>
      <c r="D3" s="179"/>
      <c r="E3" s="188"/>
      <c r="F3" s="189"/>
      <c r="G3" s="175"/>
    </row>
    <row r="4" spans="1:7" x14ac:dyDescent="0.3">
      <c r="A4" s="29"/>
      <c r="B4" s="3" t="s">
        <v>22</v>
      </c>
      <c r="C4" s="142" t="s">
        <v>26</v>
      </c>
      <c r="D4" s="142" t="s">
        <v>23</v>
      </c>
      <c r="E4" s="142" t="s">
        <v>24</v>
      </c>
      <c r="F4" s="157" t="s">
        <v>25</v>
      </c>
      <c r="G4" s="178"/>
    </row>
    <row r="5" spans="1:7" x14ac:dyDescent="0.3">
      <c r="A5" s="25"/>
      <c r="B5" s="42"/>
      <c r="C5" s="180"/>
      <c r="D5" s="180"/>
      <c r="E5" s="180"/>
      <c r="F5" s="190"/>
      <c r="G5" s="176"/>
    </row>
    <row r="6" spans="1:7" x14ac:dyDescent="0.45">
      <c r="A6" s="25"/>
      <c r="B6" s="22" t="s">
        <v>127</v>
      </c>
      <c r="C6" s="135"/>
      <c r="D6" s="136"/>
      <c r="E6" s="191"/>
      <c r="F6" s="192" t="str">
        <f t="shared" ref="F6:F9" si="0">IF(C6="","",(C6*E6))</f>
        <v/>
      </c>
    </row>
    <row r="7" spans="1:7" x14ac:dyDescent="0.45">
      <c r="A7" s="25"/>
      <c r="B7" s="22"/>
      <c r="C7" s="135"/>
      <c r="D7" s="136"/>
      <c r="E7" s="191"/>
      <c r="F7" s="192"/>
    </row>
    <row r="8" spans="1:7" x14ac:dyDescent="0.45">
      <c r="A8" s="25"/>
      <c r="B8" s="22" t="s">
        <v>138</v>
      </c>
      <c r="C8" s="135"/>
      <c r="D8" s="136"/>
      <c r="E8" s="191"/>
      <c r="F8" s="192"/>
    </row>
    <row r="9" spans="1:7" ht="18" customHeight="1" x14ac:dyDescent="0.45">
      <c r="A9" s="25"/>
      <c r="B9" s="22"/>
      <c r="C9" s="135"/>
      <c r="D9" s="136"/>
      <c r="E9" s="191"/>
      <c r="F9" s="192" t="str">
        <f t="shared" si="0"/>
        <v/>
      </c>
    </row>
    <row r="10" spans="1:7" ht="30.75" x14ac:dyDescent="0.45">
      <c r="A10" s="25" t="s">
        <v>9</v>
      </c>
      <c r="B10" s="69" t="s">
        <v>132</v>
      </c>
      <c r="C10" s="135">
        <v>89</v>
      </c>
      <c r="D10" s="136" t="s">
        <v>42</v>
      </c>
      <c r="E10" s="191">
        <v>65</v>
      </c>
      <c r="F10" s="192">
        <f>IF(C10="","",(C10*E10))</f>
        <v>5785</v>
      </c>
    </row>
    <row r="11" spans="1:7" x14ac:dyDescent="0.45">
      <c r="A11" s="25"/>
      <c r="B11" s="122"/>
      <c r="C11" s="135"/>
      <c r="D11" s="136"/>
      <c r="E11" s="191"/>
      <c r="F11" s="192"/>
    </row>
    <row r="12" spans="1:7" x14ac:dyDescent="0.45">
      <c r="A12" s="25" t="s">
        <v>10</v>
      </c>
      <c r="B12" s="2" t="s">
        <v>540</v>
      </c>
      <c r="C12" s="135">
        <v>2</v>
      </c>
      <c r="D12" s="136" t="s">
        <v>137</v>
      </c>
      <c r="E12" s="191">
        <v>300</v>
      </c>
      <c r="F12" s="192">
        <f>IF(C12="","",(C12*E12))</f>
        <v>600</v>
      </c>
    </row>
    <row r="13" spans="1:7" x14ac:dyDescent="0.45">
      <c r="A13" s="25"/>
      <c r="B13" s="70"/>
      <c r="C13" s="135"/>
      <c r="D13" s="136"/>
      <c r="E13" s="191"/>
      <c r="F13" s="192"/>
    </row>
    <row r="14" spans="1:7" x14ac:dyDescent="0.45">
      <c r="A14" s="25" t="s">
        <v>11</v>
      </c>
      <c r="B14" s="2" t="s">
        <v>509</v>
      </c>
      <c r="C14" s="135">
        <f>40*0.45</f>
        <v>18</v>
      </c>
      <c r="D14" s="136" t="s">
        <v>42</v>
      </c>
      <c r="E14" s="191">
        <v>104.25</v>
      </c>
      <c r="F14" s="192">
        <f>IF(C14="","",(C14*E14))</f>
        <v>1876.5</v>
      </c>
    </row>
    <row r="15" spans="1:7" x14ac:dyDescent="0.45">
      <c r="A15" s="25"/>
      <c r="B15" s="69"/>
      <c r="C15" s="135"/>
      <c r="D15" s="136"/>
      <c r="E15" s="191"/>
      <c r="F15" s="192"/>
    </row>
    <row r="16" spans="1:7" x14ac:dyDescent="0.45">
      <c r="A16" s="25" t="s">
        <v>12</v>
      </c>
      <c r="B16" s="2" t="s">
        <v>134</v>
      </c>
      <c r="C16" s="135">
        <f>40/2</f>
        <v>20</v>
      </c>
      <c r="D16" s="136" t="s">
        <v>137</v>
      </c>
      <c r="E16" s="191">
        <v>9.8800000000000008</v>
      </c>
      <c r="F16" s="192">
        <f>IF(C16="","",(C16*E16))</f>
        <v>197.60000000000002</v>
      </c>
    </row>
    <row r="17" spans="1:6" x14ac:dyDescent="0.45">
      <c r="A17" s="25"/>
      <c r="C17" s="135"/>
      <c r="D17" s="136"/>
      <c r="E17" s="191"/>
      <c r="F17" s="192"/>
    </row>
    <row r="18" spans="1:6" x14ac:dyDescent="0.45">
      <c r="A18" s="25" t="s">
        <v>13</v>
      </c>
      <c r="B18" s="1" t="s">
        <v>135</v>
      </c>
      <c r="C18" s="135">
        <f>47*0.125*0.3</f>
        <v>1.7625</v>
      </c>
      <c r="D18" s="136" t="s">
        <v>136</v>
      </c>
      <c r="E18" s="191">
        <v>256</v>
      </c>
      <c r="F18" s="192">
        <f>IF(C18="","",(C18*E18))</f>
        <v>451.2</v>
      </c>
    </row>
    <row r="19" spans="1:6" x14ac:dyDescent="0.45">
      <c r="A19" s="25"/>
      <c r="C19" s="135"/>
      <c r="D19" s="136"/>
      <c r="E19" s="191"/>
      <c r="F19" s="192"/>
    </row>
    <row r="20" spans="1:6" x14ac:dyDescent="0.45">
      <c r="A20" s="25" t="s">
        <v>14</v>
      </c>
      <c r="B20" s="1" t="s">
        <v>141</v>
      </c>
      <c r="C20" s="135">
        <f>54*0.225</f>
        <v>12.15</v>
      </c>
      <c r="D20" s="136" t="s">
        <v>42</v>
      </c>
      <c r="E20" s="191">
        <v>49.2</v>
      </c>
      <c r="F20" s="192">
        <f>IF(C20="","",(C20*E20))</f>
        <v>597.78000000000009</v>
      </c>
    </row>
    <row r="21" spans="1:6" x14ac:dyDescent="0.45">
      <c r="A21" s="25"/>
      <c r="B21" s="70"/>
      <c r="C21" s="135"/>
      <c r="D21" s="136"/>
      <c r="E21" s="191"/>
      <c r="F21" s="192"/>
    </row>
    <row r="22" spans="1:6" x14ac:dyDescent="0.45">
      <c r="A22" s="25"/>
      <c r="B22" s="22" t="s">
        <v>139</v>
      </c>
      <c r="C22" s="135"/>
      <c r="D22" s="136"/>
      <c r="E22" s="193"/>
      <c r="F22" s="192"/>
    </row>
    <row r="23" spans="1:6" x14ac:dyDescent="0.45">
      <c r="A23" s="25"/>
      <c r="B23" s="70"/>
      <c r="C23" s="135"/>
      <c r="D23" s="136"/>
      <c r="E23" s="193"/>
      <c r="F23" s="192"/>
    </row>
    <row r="24" spans="1:6" ht="30.75" x14ac:dyDescent="0.45">
      <c r="A24" s="25" t="s">
        <v>15</v>
      </c>
      <c r="B24" s="69" t="s">
        <v>140</v>
      </c>
      <c r="C24" s="135"/>
      <c r="D24" s="136" t="s">
        <v>42</v>
      </c>
      <c r="E24" s="191"/>
      <c r="F24" s="192" t="s">
        <v>51</v>
      </c>
    </row>
    <row r="25" spans="1:6" x14ac:dyDescent="0.45">
      <c r="A25" s="25"/>
      <c r="B25" s="122"/>
      <c r="C25" s="135"/>
      <c r="D25" s="136"/>
      <c r="E25" s="193"/>
      <c r="F25" s="192"/>
    </row>
    <row r="26" spans="1:6" ht="16.5" customHeight="1" x14ac:dyDescent="0.45">
      <c r="A26" s="25" t="s">
        <v>16</v>
      </c>
      <c r="B26" s="2" t="s">
        <v>541</v>
      </c>
      <c r="C26" s="135">
        <v>6</v>
      </c>
      <c r="D26" s="136" t="s">
        <v>137</v>
      </c>
      <c r="E26" s="191">
        <v>300</v>
      </c>
      <c r="F26" s="192">
        <f>IF(C26="","",(C26*E26))</f>
        <v>1800</v>
      </c>
    </row>
    <row r="27" spans="1:6" x14ac:dyDescent="0.45">
      <c r="A27" s="25"/>
      <c r="B27" s="70"/>
      <c r="C27" s="135"/>
      <c r="D27" s="136"/>
      <c r="E27" s="193"/>
      <c r="F27" s="192"/>
    </row>
    <row r="28" spans="1:6" x14ac:dyDescent="0.45">
      <c r="A28" s="25" t="s">
        <v>33</v>
      </c>
      <c r="B28" s="2" t="s">
        <v>133</v>
      </c>
      <c r="C28" s="135"/>
      <c r="D28" s="136" t="s">
        <v>42</v>
      </c>
      <c r="E28" s="191"/>
      <c r="F28" s="192" t="s">
        <v>51</v>
      </c>
    </row>
    <row r="29" spans="1:6" x14ac:dyDescent="0.45">
      <c r="A29" s="25"/>
      <c r="B29" s="69"/>
      <c r="C29" s="135"/>
      <c r="D29" s="136"/>
      <c r="E29" s="193"/>
      <c r="F29" s="192"/>
    </row>
    <row r="30" spans="1:6" ht="33" customHeight="1" x14ac:dyDescent="0.45">
      <c r="A30" s="25" t="s">
        <v>17</v>
      </c>
      <c r="B30" s="2" t="s">
        <v>134</v>
      </c>
      <c r="C30" s="135"/>
      <c r="D30" s="136" t="s">
        <v>137</v>
      </c>
      <c r="E30" s="193"/>
      <c r="F30" s="192" t="s">
        <v>51</v>
      </c>
    </row>
    <row r="31" spans="1:6" x14ac:dyDescent="0.45">
      <c r="A31" s="25"/>
      <c r="C31" s="135"/>
      <c r="D31" s="136"/>
      <c r="E31" s="193"/>
      <c r="F31" s="192"/>
    </row>
    <row r="32" spans="1:6" x14ac:dyDescent="0.45">
      <c r="A32" s="25" t="s">
        <v>18</v>
      </c>
      <c r="B32" s="1" t="s">
        <v>135</v>
      </c>
      <c r="C32" s="135">
        <f>126*0.125*0.3</f>
        <v>4.7249999999999996</v>
      </c>
      <c r="D32" s="136" t="s">
        <v>136</v>
      </c>
      <c r="E32" s="191">
        <v>256</v>
      </c>
      <c r="F32" s="192">
        <f>IF(C32="","",(C32*E32))</f>
        <v>1209.5999999999999</v>
      </c>
    </row>
    <row r="33" spans="1:7" x14ac:dyDescent="0.45">
      <c r="A33" s="25"/>
      <c r="C33" s="135"/>
      <c r="D33" s="136"/>
      <c r="E33" s="191"/>
      <c r="F33" s="192"/>
    </row>
    <row r="34" spans="1:7" x14ac:dyDescent="0.45">
      <c r="A34" s="25" t="s">
        <v>19</v>
      </c>
      <c r="B34" s="1" t="s">
        <v>141</v>
      </c>
      <c r="C34" s="135">
        <f>171*0.225</f>
        <v>38.475000000000001</v>
      </c>
      <c r="D34" s="136" t="s">
        <v>42</v>
      </c>
      <c r="E34" s="191">
        <v>49.2</v>
      </c>
      <c r="F34" s="192">
        <f>IF(C34="","",(C34*E34))</f>
        <v>1892.9700000000003</v>
      </c>
    </row>
    <row r="35" spans="1:7" x14ac:dyDescent="0.45">
      <c r="A35" s="25"/>
      <c r="B35" s="70"/>
      <c r="C35" s="135"/>
      <c r="D35" s="136"/>
      <c r="E35" s="193"/>
      <c r="F35" s="192"/>
    </row>
    <row r="36" spans="1:7" x14ac:dyDescent="0.45">
      <c r="A36" s="25"/>
      <c r="B36" s="70"/>
      <c r="C36" s="135"/>
      <c r="D36" s="136"/>
      <c r="E36" s="193"/>
      <c r="F36" s="192"/>
    </row>
    <row r="37" spans="1:7" x14ac:dyDescent="0.45">
      <c r="A37" s="25"/>
      <c r="B37" s="69"/>
      <c r="C37" s="135"/>
      <c r="D37" s="136"/>
      <c r="E37" s="193"/>
      <c r="F37" s="192"/>
    </row>
    <row r="38" spans="1:7" x14ac:dyDescent="0.45">
      <c r="A38" s="38"/>
      <c r="B38" s="6"/>
      <c r="C38" s="143"/>
      <c r="D38" s="144"/>
      <c r="E38" s="143"/>
      <c r="F38" s="194"/>
    </row>
    <row r="39" spans="1:7" x14ac:dyDescent="0.45">
      <c r="A39" s="39"/>
      <c r="B39" s="9"/>
      <c r="C39" s="145"/>
      <c r="D39" s="146" t="s">
        <v>27</v>
      </c>
      <c r="E39" s="146" t="s">
        <v>20</v>
      </c>
      <c r="F39" s="192">
        <f>SUM(F5:F38)</f>
        <v>14410.650000000001</v>
      </c>
    </row>
    <row r="40" spans="1:7" x14ac:dyDescent="0.45">
      <c r="A40" s="41"/>
      <c r="B40" s="12"/>
      <c r="C40" s="147"/>
      <c r="D40" s="148"/>
      <c r="E40" s="147"/>
      <c r="F40" s="195"/>
    </row>
    <row r="41" spans="1:7" x14ac:dyDescent="0.45">
      <c r="A41" s="91"/>
      <c r="B41" s="92"/>
      <c r="C41" s="149"/>
      <c r="D41" s="150"/>
      <c r="E41" s="149"/>
      <c r="F41" s="194"/>
    </row>
    <row r="42" spans="1:7" x14ac:dyDescent="0.45">
      <c r="A42" s="25"/>
      <c r="B42" s="133"/>
      <c r="C42" s="181"/>
      <c r="D42" s="181"/>
      <c r="E42" s="181"/>
      <c r="F42" s="181"/>
      <c r="G42" s="1"/>
    </row>
    <row r="43" spans="1:7" ht="14.25" customHeight="1" x14ac:dyDescent="0.45">
      <c r="A43" s="25"/>
      <c r="B43" s="69"/>
      <c r="C43" s="135"/>
      <c r="D43" s="136"/>
      <c r="E43" s="193"/>
      <c r="F43" s="192"/>
    </row>
    <row r="44" spans="1:7" x14ac:dyDescent="0.45">
      <c r="A44" s="25"/>
      <c r="B44" s="69"/>
      <c r="C44" s="135"/>
      <c r="D44" s="136"/>
      <c r="E44" s="191"/>
      <c r="F44" s="192" t="str">
        <f>IF(C44="","",(C44*E44))</f>
        <v/>
      </c>
    </row>
    <row r="45" spans="1:7" ht="14.1" customHeight="1" x14ac:dyDescent="0.45">
      <c r="A45" s="25"/>
      <c r="B45" s="69"/>
      <c r="C45" s="135"/>
      <c r="D45" s="136"/>
      <c r="E45" s="193"/>
      <c r="F45" s="192"/>
    </row>
    <row r="46" spans="1:7" x14ac:dyDescent="0.45">
      <c r="A46" s="25"/>
      <c r="B46" s="69"/>
      <c r="C46" s="135"/>
      <c r="D46" s="136"/>
      <c r="E46" s="191"/>
      <c r="F46" s="192" t="str">
        <f>IF(C46="","",(C46*E46))</f>
        <v/>
      </c>
    </row>
    <row r="47" spans="1:7" ht="14.1" customHeight="1" x14ac:dyDescent="0.45">
      <c r="A47" s="25"/>
      <c r="B47" s="69"/>
      <c r="C47" s="135"/>
      <c r="D47" s="136"/>
      <c r="E47" s="193"/>
      <c r="F47" s="192"/>
    </row>
    <row r="48" spans="1:7" x14ac:dyDescent="0.45">
      <c r="A48" s="25"/>
      <c r="B48" s="69"/>
      <c r="C48" s="135"/>
      <c r="D48" s="136"/>
      <c r="E48" s="191"/>
      <c r="F48" s="192" t="str">
        <f>IF(C48="","",(C48*E48))</f>
        <v/>
      </c>
    </row>
    <row r="49" spans="1:6" ht="14.1" customHeight="1" x14ac:dyDescent="0.45">
      <c r="A49" s="25"/>
      <c r="B49" s="69"/>
      <c r="C49" s="135"/>
      <c r="D49" s="136"/>
      <c r="E49" s="191"/>
      <c r="F49" s="192"/>
    </row>
    <row r="50" spans="1:6" x14ac:dyDescent="0.45">
      <c r="A50" s="25"/>
      <c r="B50" s="69"/>
      <c r="C50" s="135"/>
      <c r="D50" s="136"/>
      <c r="E50" s="191"/>
      <c r="F50" s="192" t="str">
        <f>IF(C50="","",(C50*E50))</f>
        <v/>
      </c>
    </row>
    <row r="51" spans="1:6" ht="14.1" customHeight="1" x14ac:dyDescent="0.45">
      <c r="A51" s="25"/>
      <c r="B51" s="69"/>
      <c r="C51" s="135"/>
      <c r="D51" s="136"/>
      <c r="E51" s="193"/>
      <c r="F51" s="192"/>
    </row>
    <row r="52" spans="1:6" x14ac:dyDescent="0.45">
      <c r="A52" s="25"/>
      <c r="B52" s="133"/>
      <c r="C52" s="135"/>
      <c r="D52" s="136"/>
      <c r="E52" s="191"/>
      <c r="F52" s="192" t="str">
        <f>IF(C52="","",(C52*E52))</f>
        <v/>
      </c>
    </row>
    <row r="53" spans="1:6" ht="14.1" customHeight="1" x14ac:dyDescent="0.45">
      <c r="A53" s="25"/>
      <c r="B53" s="69"/>
      <c r="C53" s="135"/>
      <c r="D53" s="136"/>
      <c r="E53" s="193"/>
      <c r="F53" s="192"/>
    </row>
    <row r="54" spans="1:6" x14ac:dyDescent="0.45">
      <c r="A54" s="25"/>
      <c r="B54" s="69"/>
      <c r="C54" s="135"/>
      <c r="D54" s="136"/>
      <c r="E54" s="191"/>
      <c r="F54" s="192" t="str">
        <f>IF(C54="","",(C54*E54))</f>
        <v/>
      </c>
    </row>
    <row r="55" spans="1:6" ht="14.1" customHeight="1" x14ac:dyDescent="0.45">
      <c r="A55" s="25"/>
      <c r="B55" s="69"/>
      <c r="C55" s="135"/>
      <c r="D55" s="136"/>
      <c r="E55" s="193"/>
      <c r="F55" s="192"/>
    </row>
    <row r="56" spans="1:6" x14ac:dyDescent="0.45">
      <c r="A56" s="25"/>
      <c r="B56" s="69"/>
      <c r="C56" s="135"/>
      <c r="D56" s="136"/>
      <c r="E56" s="191"/>
      <c r="F56" s="192" t="str">
        <f>IF(C56="","",(C56*E56))</f>
        <v/>
      </c>
    </row>
    <row r="57" spans="1:6" ht="14.1" customHeight="1" x14ac:dyDescent="0.45">
      <c r="A57" s="25"/>
      <c r="B57" s="69"/>
      <c r="C57" s="135"/>
      <c r="D57" s="136"/>
      <c r="E57" s="193"/>
      <c r="F57" s="192"/>
    </row>
    <row r="58" spans="1:6" x14ac:dyDescent="0.45">
      <c r="A58" s="25"/>
      <c r="B58" s="69"/>
      <c r="C58" s="135"/>
      <c r="D58" s="136"/>
      <c r="E58" s="193"/>
      <c r="F58" s="192" t="str">
        <f>IF(C58="","",(C58*E58))</f>
        <v/>
      </c>
    </row>
    <row r="59" spans="1:6" ht="14.1" customHeight="1" x14ac:dyDescent="0.45">
      <c r="A59" s="25"/>
      <c r="B59" s="69"/>
      <c r="C59" s="135"/>
      <c r="D59" s="136"/>
      <c r="E59" s="193"/>
      <c r="F59" s="192"/>
    </row>
    <row r="60" spans="1:6" ht="15.75" customHeight="1" x14ac:dyDescent="0.45">
      <c r="A60" s="25"/>
      <c r="B60" s="133"/>
      <c r="C60" s="135"/>
      <c r="D60" s="136"/>
      <c r="E60" s="193"/>
      <c r="F60" s="192"/>
    </row>
    <row r="61" spans="1:6" x14ac:dyDescent="0.45">
      <c r="A61" s="25"/>
      <c r="B61" s="69"/>
      <c r="C61" s="135"/>
      <c r="D61" s="136"/>
      <c r="E61" s="193"/>
      <c r="F61" s="192" t="str">
        <f>IF(C61="","",(C61*E61))</f>
        <v/>
      </c>
    </row>
    <row r="62" spans="1:6" x14ac:dyDescent="0.45">
      <c r="A62" s="25"/>
      <c r="B62" s="69"/>
      <c r="C62" s="135"/>
      <c r="D62" s="136"/>
      <c r="E62" s="191"/>
      <c r="F62" s="192" t="str">
        <f>IF(C62="","",(C62*E62))</f>
        <v/>
      </c>
    </row>
    <row r="63" spans="1:6" ht="16.5" customHeight="1" x14ac:dyDescent="0.45">
      <c r="A63" s="25"/>
      <c r="B63" s="133"/>
      <c r="C63" s="135"/>
      <c r="D63" s="136"/>
      <c r="E63" s="193"/>
      <c r="F63" s="192"/>
    </row>
    <row r="64" spans="1:6" x14ac:dyDescent="0.45">
      <c r="A64" s="25"/>
      <c r="B64" s="69"/>
      <c r="C64" s="135"/>
      <c r="D64" s="136"/>
      <c r="E64" s="191"/>
      <c r="F64" s="192" t="str">
        <f>IF(C64="","",(C64*E64))</f>
        <v/>
      </c>
    </row>
    <row r="65" spans="1:7" ht="14.1" customHeight="1" x14ac:dyDescent="0.45">
      <c r="A65" s="25"/>
      <c r="B65" s="69"/>
      <c r="C65" s="135"/>
      <c r="D65" s="136"/>
      <c r="E65" s="193"/>
      <c r="F65" s="192" t="str">
        <f>IF(C65="","",(C65*E65))</f>
        <v/>
      </c>
    </row>
    <row r="66" spans="1:7" x14ac:dyDescent="0.45">
      <c r="A66" s="78"/>
      <c r="B66" s="132"/>
      <c r="C66" s="172"/>
      <c r="D66" s="164"/>
      <c r="E66" s="196"/>
      <c r="F66" s="197"/>
      <c r="G66" s="177"/>
    </row>
    <row r="67" spans="1:7" x14ac:dyDescent="0.45">
      <c r="A67" s="78"/>
      <c r="B67" s="133"/>
      <c r="C67" s="172"/>
      <c r="D67" s="164"/>
      <c r="E67" s="291"/>
      <c r="F67" s="197"/>
      <c r="G67" s="177"/>
    </row>
    <row r="68" spans="1:7" x14ac:dyDescent="0.45">
      <c r="A68" s="25"/>
      <c r="B68" s="69"/>
      <c r="C68" s="135"/>
      <c r="D68" s="136"/>
      <c r="E68" s="193"/>
      <c r="F68" s="192" t="str">
        <f>IF(C68="","",(C68*E68))</f>
        <v/>
      </c>
      <c r="G68" s="177"/>
    </row>
    <row r="69" spans="1:7" x14ac:dyDescent="0.45">
      <c r="A69" s="25"/>
      <c r="B69" s="69"/>
      <c r="C69" s="172"/>
      <c r="D69" s="164"/>
      <c r="E69" s="291"/>
      <c r="F69" s="197"/>
      <c r="G69" s="177"/>
    </row>
    <row r="70" spans="1:7" x14ac:dyDescent="0.45">
      <c r="A70" s="25"/>
      <c r="B70" s="69"/>
      <c r="C70" s="135"/>
      <c r="D70" s="136"/>
      <c r="E70" s="193"/>
      <c r="F70" s="192" t="str">
        <f>IF(C70="","",(C70*E70))</f>
        <v/>
      </c>
      <c r="G70" s="177"/>
    </row>
    <row r="71" spans="1:7" x14ac:dyDescent="0.45">
      <c r="A71" s="25"/>
      <c r="B71" s="69"/>
      <c r="C71" s="172"/>
      <c r="D71" s="164"/>
      <c r="E71" s="291"/>
      <c r="F71" s="197"/>
      <c r="G71" s="177"/>
    </row>
    <row r="72" spans="1:7" x14ac:dyDescent="0.45">
      <c r="A72" s="25"/>
      <c r="B72" s="69"/>
      <c r="C72" s="135"/>
      <c r="D72" s="136"/>
      <c r="E72" s="193"/>
      <c r="F72" s="192" t="str">
        <f>IF(C72="","",(C72*E72))</f>
        <v/>
      </c>
      <c r="G72" s="177"/>
    </row>
    <row r="73" spans="1:7" x14ac:dyDescent="0.45">
      <c r="A73" s="25"/>
      <c r="B73" s="69"/>
      <c r="C73" s="172"/>
      <c r="D73" s="164"/>
      <c r="E73" s="291"/>
      <c r="F73" s="197"/>
      <c r="G73" s="177"/>
    </row>
    <row r="74" spans="1:7" x14ac:dyDescent="0.45">
      <c r="A74" s="25"/>
      <c r="B74" s="69"/>
      <c r="C74" s="135"/>
      <c r="D74" s="136"/>
      <c r="E74" s="193"/>
      <c r="F74" s="192" t="str">
        <f>IF(C74="","",(C74*E74))</f>
        <v/>
      </c>
      <c r="G74" s="177"/>
    </row>
    <row r="75" spans="1:7" x14ac:dyDescent="0.45">
      <c r="A75" s="25"/>
      <c r="B75" s="69"/>
      <c r="C75" s="172"/>
      <c r="D75" s="164"/>
      <c r="E75" s="291"/>
      <c r="F75" s="197"/>
      <c r="G75" s="177"/>
    </row>
    <row r="76" spans="1:7" x14ac:dyDescent="0.45">
      <c r="A76" s="25"/>
      <c r="B76" s="69"/>
      <c r="C76" s="135"/>
      <c r="D76" s="136"/>
      <c r="E76" s="193"/>
      <c r="F76" s="192" t="str">
        <f>IF(C76="","",(C76*E76))</f>
        <v/>
      </c>
      <c r="G76" s="177"/>
    </row>
    <row r="77" spans="1:7" x14ac:dyDescent="0.45">
      <c r="A77" s="25"/>
      <c r="B77" s="69"/>
      <c r="C77" s="172"/>
      <c r="D77" s="164"/>
      <c r="E77" s="291"/>
      <c r="F77" s="197"/>
      <c r="G77" s="177"/>
    </row>
    <row r="78" spans="1:7" x14ac:dyDescent="0.45">
      <c r="A78" s="25"/>
      <c r="B78" s="69"/>
      <c r="C78" s="135"/>
      <c r="D78" s="136"/>
      <c r="E78" s="193"/>
      <c r="F78" s="192" t="str">
        <f>IF(C78="","",(C78*E78))</f>
        <v/>
      </c>
      <c r="G78" s="177"/>
    </row>
    <row r="79" spans="1:7" x14ac:dyDescent="0.45">
      <c r="A79" s="25"/>
      <c r="B79" s="69"/>
      <c r="C79" s="172"/>
      <c r="D79" s="164"/>
      <c r="E79" s="291"/>
      <c r="F79" s="197"/>
      <c r="G79" s="177"/>
    </row>
    <row r="80" spans="1:7" x14ac:dyDescent="0.45">
      <c r="A80" s="25"/>
      <c r="B80" s="69"/>
      <c r="C80" s="135"/>
      <c r="D80" s="136"/>
      <c r="E80" s="193"/>
      <c r="F80" s="192" t="str">
        <f>IF(C80="","",(C80*E80))</f>
        <v/>
      </c>
      <c r="G80" s="177"/>
    </row>
    <row r="81" spans="1:7" x14ac:dyDescent="0.45">
      <c r="A81" s="25"/>
      <c r="B81" s="69"/>
      <c r="C81" s="172"/>
      <c r="D81" s="164"/>
      <c r="E81" s="291"/>
      <c r="F81" s="197"/>
      <c r="G81" s="177"/>
    </row>
    <row r="82" spans="1:7" x14ac:dyDescent="0.45">
      <c r="A82" s="25"/>
      <c r="B82" s="69"/>
      <c r="C82" s="135"/>
      <c r="D82" s="136"/>
      <c r="E82" s="193"/>
      <c r="F82" s="192" t="str">
        <f>IF(C82="","",(C82*E82))</f>
        <v/>
      </c>
      <c r="G82" s="177"/>
    </row>
    <row r="83" spans="1:7" x14ac:dyDescent="0.45">
      <c r="A83" s="78"/>
      <c r="B83" s="69"/>
      <c r="C83" s="172"/>
      <c r="D83" s="164"/>
      <c r="E83" s="291"/>
      <c r="F83" s="197"/>
      <c r="G83" s="177"/>
    </row>
    <row r="84" spans="1:7" x14ac:dyDescent="0.45">
      <c r="A84" s="25"/>
      <c r="B84" s="69"/>
      <c r="C84" s="135"/>
      <c r="D84" s="136"/>
      <c r="E84" s="193"/>
      <c r="F84" s="192" t="str">
        <f>IF(C84="","",(C84*E84))</f>
        <v/>
      </c>
      <c r="G84" s="177"/>
    </row>
    <row r="85" spans="1:7" x14ac:dyDescent="0.45">
      <c r="A85" s="78"/>
      <c r="B85" s="69"/>
      <c r="C85" s="172"/>
      <c r="D85" s="164"/>
      <c r="E85" s="291"/>
      <c r="F85" s="197"/>
      <c r="G85" s="177"/>
    </row>
    <row r="86" spans="1:7" x14ac:dyDescent="0.45">
      <c r="A86" s="38"/>
      <c r="B86" s="6"/>
      <c r="C86" s="143"/>
      <c r="D86" s="144"/>
      <c r="E86" s="143"/>
      <c r="F86" s="194"/>
      <c r="G86" s="177"/>
    </row>
    <row r="87" spans="1:7" x14ac:dyDescent="0.45">
      <c r="A87" s="39"/>
      <c r="B87" s="9"/>
      <c r="C87" s="145"/>
      <c r="D87" s="146" t="s">
        <v>27</v>
      </c>
      <c r="E87" s="146" t="s">
        <v>20</v>
      </c>
      <c r="F87" s="192">
        <f>SUM(F44:F86)</f>
        <v>0</v>
      </c>
      <c r="G87" s="177"/>
    </row>
    <row r="88" spans="1:7" x14ac:dyDescent="0.45">
      <c r="A88" s="41"/>
      <c r="B88" s="12"/>
      <c r="C88" s="147"/>
      <c r="D88" s="148"/>
      <c r="E88" s="147"/>
      <c r="F88" s="195"/>
      <c r="G88" s="177"/>
    </row>
    <row r="89" spans="1:7" x14ac:dyDescent="0.45">
      <c r="A89" s="78"/>
      <c r="B89" s="69"/>
      <c r="C89" s="172"/>
      <c r="D89" s="164"/>
      <c r="E89" s="291"/>
      <c r="F89" s="197"/>
      <c r="G89" s="177"/>
    </row>
    <row r="90" spans="1:7" x14ac:dyDescent="0.45">
      <c r="A90" s="78"/>
      <c r="B90" s="69"/>
      <c r="C90" s="172"/>
      <c r="D90" s="164"/>
      <c r="E90" s="291"/>
      <c r="F90" s="197"/>
      <c r="G90" s="177"/>
    </row>
    <row r="91" spans="1:7" x14ac:dyDescent="0.45">
      <c r="A91" s="78"/>
      <c r="B91" s="69"/>
      <c r="C91" s="172"/>
      <c r="D91" s="164"/>
      <c r="E91" s="291"/>
      <c r="F91" s="197"/>
      <c r="G91" s="177"/>
    </row>
    <row r="92" spans="1:7" x14ac:dyDescent="0.45">
      <c r="A92" s="78"/>
      <c r="B92" s="69"/>
      <c r="C92" s="172"/>
      <c r="D92" s="164"/>
      <c r="E92" s="291"/>
      <c r="F92" s="197"/>
      <c r="G92" s="177"/>
    </row>
    <row r="93" spans="1:7" x14ac:dyDescent="0.45">
      <c r="A93" s="25"/>
      <c r="B93" s="22" t="s">
        <v>28</v>
      </c>
      <c r="C93" s="135"/>
      <c r="D93" s="136"/>
      <c r="E93" s="193"/>
      <c r="F93" s="192"/>
    </row>
    <row r="94" spans="1:7" x14ac:dyDescent="0.45">
      <c r="A94" s="25"/>
      <c r="B94" s="20"/>
      <c r="C94" s="135"/>
      <c r="D94" s="136"/>
      <c r="E94" s="193"/>
      <c r="F94" s="192"/>
    </row>
    <row r="95" spans="1:7" x14ac:dyDescent="0.45">
      <c r="A95" s="25"/>
      <c r="B95" s="20" t="s">
        <v>35</v>
      </c>
      <c r="C95" s="135"/>
      <c r="D95" s="136"/>
      <c r="E95" s="193"/>
      <c r="F95" s="192">
        <f>F39</f>
        <v>14410.650000000001</v>
      </c>
    </row>
    <row r="96" spans="1:7" x14ac:dyDescent="0.45">
      <c r="A96" s="25"/>
      <c r="B96" s="2"/>
      <c r="C96" s="135"/>
      <c r="D96" s="136"/>
      <c r="E96" s="193"/>
      <c r="F96" s="192"/>
    </row>
    <row r="97" spans="1:7" x14ac:dyDescent="0.45">
      <c r="A97" s="25"/>
      <c r="B97" s="20" t="s">
        <v>36</v>
      </c>
      <c r="C97" s="135"/>
      <c r="D97" s="136"/>
      <c r="E97" s="193"/>
      <c r="F97" s="192">
        <f>F87</f>
        <v>0</v>
      </c>
    </row>
    <row r="98" spans="1:7" x14ac:dyDescent="0.45">
      <c r="A98" s="25"/>
      <c r="B98" s="2"/>
      <c r="C98" s="135"/>
      <c r="D98" s="136"/>
      <c r="E98" s="193"/>
      <c r="F98" s="192"/>
    </row>
    <row r="99" spans="1:7" x14ac:dyDescent="0.45">
      <c r="A99" s="25"/>
      <c r="B99" s="20"/>
      <c r="C99" s="135"/>
      <c r="D99" s="136"/>
      <c r="E99" s="193"/>
      <c r="F99" s="192"/>
    </row>
    <row r="100" spans="1:7" x14ac:dyDescent="0.45">
      <c r="A100" s="25"/>
      <c r="B100" s="20"/>
      <c r="C100" s="135"/>
      <c r="D100" s="136"/>
      <c r="E100" s="193"/>
      <c r="F100" s="192"/>
    </row>
    <row r="101" spans="1:7" x14ac:dyDescent="0.45">
      <c r="A101" s="25"/>
      <c r="B101" s="20"/>
      <c r="C101" s="135"/>
      <c r="D101" s="136"/>
      <c r="E101" s="193"/>
      <c r="F101" s="192"/>
    </row>
    <row r="102" spans="1:7" x14ac:dyDescent="0.45">
      <c r="A102" s="25"/>
      <c r="B102" s="20"/>
      <c r="C102" s="135"/>
      <c r="D102" s="136"/>
      <c r="E102" s="193"/>
      <c r="F102" s="192"/>
    </row>
    <row r="103" spans="1:7" x14ac:dyDescent="0.45">
      <c r="A103" s="25"/>
      <c r="B103" s="20"/>
      <c r="C103" s="135"/>
      <c r="D103" s="136"/>
      <c r="E103" s="193"/>
      <c r="F103" s="192"/>
    </row>
    <row r="104" spans="1:7" x14ac:dyDescent="0.45">
      <c r="A104" s="25"/>
      <c r="B104" s="20"/>
      <c r="C104" s="135"/>
      <c r="D104" s="136"/>
      <c r="E104" s="193"/>
      <c r="F104" s="192"/>
    </row>
    <row r="105" spans="1:7" x14ac:dyDescent="0.45">
      <c r="A105" s="25"/>
      <c r="B105" s="20"/>
      <c r="C105" s="135"/>
      <c r="D105" s="136"/>
      <c r="E105" s="193"/>
      <c r="F105" s="192"/>
    </row>
    <row r="106" spans="1:7" x14ac:dyDescent="0.45">
      <c r="A106" s="25"/>
      <c r="B106" s="20"/>
      <c r="C106" s="135"/>
      <c r="D106" s="136"/>
      <c r="E106" s="193"/>
      <c r="F106" s="192"/>
    </row>
    <row r="107" spans="1:7" x14ac:dyDescent="0.45">
      <c r="A107" s="25"/>
      <c r="B107" s="20"/>
      <c r="C107" s="135"/>
      <c r="D107" s="136"/>
      <c r="E107" s="193"/>
      <c r="F107" s="192"/>
    </row>
    <row r="108" spans="1:7" x14ac:dyDescent="0.45">
      <c r="A108" s="25"/>
      <c r="B108" s="20"/>
      <c r="C108" s="135"/>
      <c r="D108" s="136"/>
      <c r="E108" s="193"/>
      <c r="F108" s="192"/>
    </row>
    <row r="109" spans="1:7" x14ac:dyDescent="0.45">
      <c r="A109" s="2"/>
      <c r="B109" s="20"/>
      <c r="C109" s="135"/>
      <c r="D109" s="136"/>
      <c r="E109" s="193"/>
      <c r="F109" s="192"/>
    </row>
    <row r="110" spans="1:7" x14ac:dyDescent="0.45">
      <c r="A110" s="2"/>
      <c r="B110" s="20"/>
      <c r="C110" s="135"/>
      <c r="D110" s="136"/>
      <c r="E110" s="193"/>
      <c r="F110" s="192"/>
    </row>
    <row r="111" spans="1:7" x14ac:dyDescent="0.45">
      <c r="A111" s="50"/>
      <c r="B111" s="51"/>
      <c r="C111" s="182"/>
      <c r="D111" s="183"/>
      <c r="E111" s="198"/>
      <c r="F111" s="194" t="str">
        <f>IF(C111="","",(C111*E111))</f>
        <v/>
      </c>
    </row>
    <row r="112" spans="1:7" x14ac:dyDescent="0.45">
      <c r="A112" s="7"/>
      <c r="B112" s="9"/>
      <c r="D112" s="154"/>
      <c r="E112" s="146" t="s">
        <v>21</v>
      </c>
      <c r="F112" s="199">
        <f>SUM(F93:F111)</f>
        <v>14410.650000000001</v>
      </c>
      <c r="G112" s="175"/>
    </row>
    <row r="113" spans="1:7" x14ac:dyDescent="0.45">
      <c r="A113" s="10"/>
      <c r="B113" s="12"/>
      <c r="C113" s="147"/>
      <c r="D113" s="148"/>
      <c r="E113" s="147"/>
      <c r="F113" s="189"/>
      <c r="G113" s="175"/>
    </row>
  </sheetData>
  <pageMargins left="0.55118110236220474" right="0.19685039370078741" top="0.35433070866141736" bottom="0.55118110236220474" header="0.19685039370078741" footer="0.39370078740157483"/>
  <pageSetup paperSize="9" scale="54" orientation="portrait" r:id="rId1"/>
  <headerFooter alignWithMargins="0">
    <oddFooter>&amp;C&amp;"Times New Roman,Regular"Page 2/&amp;P</oddFooter>
  </headerFooter>
  <rowBreaks count="1" manualBreakCount="1">
    <brk id="4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7E71-D2BD-458A-85AE-348D824C6C16}">
  <dimension ref="A1:I271"/>
  <sheetViews>
    <sheetView view="pageBreakPreview" zoomScaleNormal="100" zoomScaleSheetLayoutView="100" workbookViewId="0">
      <selection activeCell="E182" sqref="E182"/>
    </sheetView>
  </sheetViews>
  <sheetFormatPr defaultColWidth="9.1328125" defaultRowHeight="15.4" x14ac:dyDescent="0.35"/>
  <cols>
    <col min="1" max="1" width="4.796875" style="100" customWidth="1"/>
    <col min="2" max="2" width="52.19921875" style="100" customWidth="1"/>
    <col min="3" max="3" width="13.33203125" style="100" customWidth="1"/>
    <col min="4" max="4" width="9" style="120" customWidth="1"/>
    <col min="5" max="5" width="12.796875" style="100" customWidth="1"/>
    <col min="6" max="6" width="16.796875" style="121" customWidth="1"/>
    <col min="7" max="7" width="48.53125" style="121" customWidth="1"/>
    <col min="8" max="8" width="17.19921875" style="100" customWidth="1"/>
    <col min="9" max="9" width="24.86328125" style="100" customWidth="1"/>
    <col min="10" max="16384" width="9.1328125" style="100"/>
  </cols>
  <sheetData>
    <row r="1" spans="1:9" x14ac:dyDescent="0.35">
      <c r="A1" s="96"/>
      <c r="B1" s="97"/>
      <c r="C1" s="96"/>
      <c r="D1" s="98" t="s">
        <v>32</v>
      </c>
      <c r="E1" s="97"/>
      <c r="F1" s="99"/>
      <c r="G1" s="272"/>
    </row>
    <row r="2" spans="1:9" x14ac:dyDescent="0.35">
      <c r="A2" s="101" t="str">
        <f>'02 Plot Groundworks'!A2</f>
        <v>The Former Police Station, Haslingden</v>
      </c>
      <c r="B2" s="102"/>
      <c r="C2" s="327"/>
      <c r="D2" s="327" t="s">
        <v>310</v>
      </c>
      <c r="E2" s="102"/>
      <c r="F2" s="104" t="s">
        <v>5</v>
      </c>
      <c r="G2" s="273"/>
    </row>
    <row r="3" spans="1:9" x14ac:dyDescent="0.35">
      <c r="A3" s="105"/>
      <c r="B3" s="106"/>
      <c r="C3" s="105"/>
      <c r="D3" s="107" t="s">
        <v>32</v>
      </c>
      <c r="E3" s="106"/>
      <c r="F3" s="108"/>
      <c r="G3" s="272"/>
    </row>
    <row r="4" spans="1:9" x14ac:dyDescent="0.35">
      <c r="A4" s="109"/>
      <c r="B4" s="110" t="s">
        <v>22</v>
      </c>
      <c r="C4" s="110" t="s">
        <v>26</v>
      </c>
      <c r="D4" s="110" t="s">
        <v>23</v>
      </c>
      <c r="E4" s="110" t="s">
        <v>24</v>
      </c>
      <c r="F4" s="111" t="s">
        <v>25</v>
      </c>
      <c r="G4" s="178" t="s">
        <v>118</v>
      </c>
    </row>
    <row r="5" spans="1:9" x14ac:dyDescent="0.35">
      <c r="A5" s="112"/>
      <c r="B5" s="113"/>
      <c r="C5" s="113"/>
      <c r="D5" s="113"/>
      <c r="E5" s="113"/>
      <c r="F5" s="114"/>
      <c r="G5" s="274"/>
    </row>
    <row r="6" spans="1:9" x14ac:dyDescent="0.35">
      <c r="A6" s="112"/>
      <c r="B6" s="124" t="s">
        <v>311</v>
      </c>
      <c r="C6" s="112"/>
      <c r="D6" s="112"/>
      <c r="E6" s="113"/>
      <c r="F6" s="114"/>
      <c r="G6" s="274"/>
    </row>
    <row r="7" spans="1:9" x14ac:dyDescent="0.35">
      <c r="A7" s="112"/>
      <c r="B7" s="112"/>
      <c r="C7" s="112"/>
      <c r="D7" s="112"/>
      <c r="E7" s="113"/>
      <c r="F7" s="114"/>
      <c r="G7" s="274"/>
    </row>
    <row r="8" spans="1:9" ht="61.5" x14ac:dyDescent="0.45">
      <c r="A8" s="119"/>
      <c r="B8" s="2" t="s">
        <v>312</v>
      </c>
      <c r="C8" s="158"/>
      <c r="D8" s="248"/>
      <c r="E8" s="208"/>
      <c r="F8" s="209"/>
      <c r="G8" s="328" t="s">
        <v>320</v>
      </c>
      <c r="H8" s="203"/>
    </row>
    <row r="9" spans="1:9" x14ac:dyDescent="0.35">
      <c r="A9" s="119"/>
      <c r="B9" s="115"/>
      <c r="C9" s="89"/>
      <c r="D9" s="112"/>
      <c r="E9" s="116"/>
      <c r="F9" s="117"/>
    </row>
    <row r="10" spans="1:9" ht="46.15" x14ac:dyDescent="0.45">
      <c r="A10" s="119" t="s">
        <v>9</v>
      </c>
      <c r="B10" s="2" t="s">
        <v>313</v>
      </c>
      <c r="C10" s="158">
        <f>62*0.48</f>
        <v>29.759999999999998</v>
      </c>
      <c r="D10" s="276" t="s">
        <v>136</v>
      </c>
      <c r="E10" s="277">
        <f>(68+6.2)*1.2</f>
        <v>89.04</v>
      </c>
      <c r="F10" s="192">
        <f t="shared" ref="F10:F46" si="0">IF(C10="","",(C10*E10))</f>
        <v>2649.8303999999998</v>
      </c>
      <c r="G10" s="363" t="s">
        <v>502</v>
      </c>
      <c r="I10" s="100">
        <f>800/12</f>
        <v>66.666666666666671</v>
      </c>
    </row>
    <row r="11" spans="1:9" x14ac:dyDescent="0.45">
      <c r="A11" s="119"/>
      <c r="B11" s="115"/>
      <c r="C11" s="89"/>
      <c r="D11" s="112"/>
      <c r="E11" s="116"/>
      <c r="F11" s="192" t="str">
        <f t="shared" si="0"/>
        <v/>
      </c>
    </row>
    <row r="12" spans="1:9" x14ac:dyDescent="0.45">
      <c r="A12" s="119" t="s">
        <v>10</v>
      </c>
      <c r="B12" s="115" t="s">
        <v>340</v>
      </c>
      <c r="C12" s="89">
        <v>62</v>
      </c>
      <c r="D12" s="112" t="s">
        <v>42</v>
      </c>
      <c r="E12" s="116">
        <v>1.5</v>
      </c>
      <c r="F12" s="192">
        <f t="shared" si="0"/>
        <v>93</v>
      </c>
    </row>
    <row r="13" spans="1:9" x14ac:dyDescent="0.45">
      <c r="A13" s="119"/>
      <c r="B13" s="115"/>
      <c r="C13" s="89"/>
      <c r="D13" s="112"/>
      <c r="E13" s="116"/>
      <c r="F13" s="192" t="str">
        <f t="shared" si="0"/>
        <v/>
      </c>
    </row>
    <row r="14" spans="1:9" x14ac:dyDescent="0.45">
      <c r="A14" s="119" t="s">
        <v>11</v>
      </c>
      <c r="B14" s="115" t="s">
        <v>314</v>
      </c>
      <c r="C14" s="88">
        <f>62*0.3</f>
        <v>18.599999999999998</v>
      </c>
      <c r="D14" s="112" t="s">
        <v>136</v>
      </c>
      <c r="E14" s="116">
        <v>64</v>
      </c>
      <c r="F14" s="192">
        <f t="shared" si="0"/>
        <v>1190.3999999999999</v>
      </c>
    </row>
    <row r="15" spans="1:9" ht="15.75" customHeight="1" x14ac:dyDescent="0.45">
      <c r="A15" s="119"/>
      <c r="B15" s="115"/>
      <c r="C15" s="89"/>
      <c r="D15" s="112"/>
      <c r="E15" s="116"/>
      <c r="F15" s="192" t="str">
        <f t="shared" si="0"/>
        <v/>
      </c>
    </row>
    <row r="16" spans="1:9" x14ac:dyDescent="0.45">
      <c r="A16" s="119" t="s">
        <v>12</v>
      </c>
      <c r="B16" s="115" t="s">
        <v>315</v>
      </c>
      <c r="C16" s="88">
        <v>62</v>
      </c>
      <c r="D16" s="112" t="s">
        <v>42</v>
      </c>
      <c r="E16" s="116">
        <v>35</v>
      </c>
      <c r="F16" s="192">
        <f t="shared" si="0"/>
        <v>2170</v>
      </c>
    </row>
    <row r="17" spans="1:7" x14ac:dyDescent="0.45">
      <c r="A17" s="119"/>
      <c r="B17" s="124"/>
      <c r="C17" s="88"/>
      <c r="D17" s="112"/>
      <c r="E17" s="116"/>
      <c r="F17" s="192" t="str">
        <f t="shared" si="0"/>
        <v/>
      </c>
    </row>
    <row r="18" spans="1:7" ht="30.75" x14ac:dyDescent="0.45">
      <c r="A18" s="119" t="s">
        <v>13</v>
      </c>
      <c r="B18" s="115" t="s">
        <v>316</v>
      </c>
      <c r="C18" s="89">
        <v>62</v>
      </c>
      <c r="D18" s="112" t="s">
        <v>42</v>
      </c>
      <c r="E18" s="116">
        <v>34</v>
      </c>
      <c r="F18" s="192">
        <f t="shared" si="0"/>
        <v>2108</v>
      </c>
    </row>
    <row r="19" spans="1:7" x14ac:dyDescent="0.45">
      <c r="A19" s="112"/>
      <c r="B19" s="115"/>
      <c r="C19" s="112"/>
      <c r="D19" s="112"/>
      <c r="E19" s="113"/>
      <c r="F19" s="192" t="str">
        <f t="shared" si="0"/>
        <v/>
      </c>
      <c r="G19" s="274"/>
    </row>
    <row r="20" spans="1:7" x14ac:dyDescent="0.45">
      <c r="A20" s="112" t="s">
        <v>14</v>
      </c>
      <c r="B20" s="115" t="s">
        <v>399</v>
      </c>
      <c r="C20" s="330">
        <v>62</v>
      </c>
      <c r="D20" s="112" t="s">
        <v>42</v>
      </c>
      <c r="E20" s="116">
        <v>2</v>
      </c>
      <c r="F20" s="192">
        <f t="shared" si="0"/>
        <v>124</v>
      </c>
      <c r="G20" s="274"/>
    </row>
    <row r="21" spans="1:7" x14ac:dyDescent="0.45">
      <c r="A21" s="112"/>
      <c r="B21" s="115"/>
      <c r="C21" s="112"/>
      <c r="D21" s="112"/>
      <c r="E21" s="113"/>
      <c r="F21" s="192" t="str">
        <f t="shared" si="0"/>
        <v/>
      </c>
      <c r="G21" s="274"/>
    </row>
    <row r="22" spans="1:7" ht="30.75" x14ac:dyDescent="0.45">
      <c r="A22" s="112" t="s">
        <v>15</v>
      </c>
      <c r="B22" s="115" t="s">
        <v>317</v>
      </c>
      <c r="C22" s="158">
        <v>62</v>
      </c>
      <c r="D22" s="276" t="s">
        <v>42</v>
      </c>
      <c r="E22" s="277">
        <v>31</v>
      </c>
      <c r="F22" s="192">
        <f t="shared" si="0"/>
        <v>1922</v>
      </c>
    </row>
    <row r="23" spans="1:7" x14ac:dyDescent="0.45">
      <c r="A23" s="112"/>
      <c r="B23" s="115"/>
      <c r="C23" s="112"/>
      <c r="D23" s="112"/>
      <c r="E23" s="113"/>
      <c r="F23" s="192" t="str">
        <f t="shared" si="0"/>
        <v/>
      </c>
      <c r="G23" s="274"/>
    </row>
    <row r="24" spans="1:7" x14ac:dyDescent="0.45">
      <c r="A24" s="112" t="s">
        <v>16</v>
      </c>
      <c r="B24" s="115" t="s">
        <v>318</v>
      </c>
      <c r="C24" s="88">
        <v>12</v>
      </c>
      <c r="D24" s="112" t="s">
        <v>30</v>
      </c>
      <c r="E24" s="116">
        <v>32.5</v>
      </c>
      <c r="F24" s="192">
        <f t="shared" si="0"/>
        <v>390</v>
      </c>
    </row>
    <row r="25" spans="1:7" x14ac:dyDescent="0.45">
      <c r="A25" s="112"/>
      <c r="B25" s="115"/>
      <c r="C25" s="112"/>
      <c r="D25" s="112"/>
      <c r="E25" s="113"/>
      <c r="F25" s="192" t="str">
        <f t="shared" si="0"/>
        <v/>
      </c>
      <c r="G25" s="274"/>
    </row>
    <row r="26" spans="1:7" x14ac:dyDescent="0.45">
      <c r="A26" s="112" t="s">
        <v>33</v>
      </c>
      <c r="B26" s="115" t="s">
        <v>319</v>
      </c>
      <c r="C26" s="88">
        <v>4</v>
      </c>
      <c r="D26" s="112" t="s">
        <v>42</v>
      </c>
      <c r="E26" s="116">
        <v>180</v>
      </c>
      <c r="F26" s="192">
        <f t="shared" si="0"/>
        <v>720</v>
      </c>
    </row>
    <row r="27" spans="1:7" x14ac:dyDescent="0.45">
      <c r="A27" s="112"/>
      <c r="B27" s="115"/>
      <c r="C27" s="112"/>
      <c r="D27" s="112"/>
      <c r="E27" s="113"/>
      <c r="F27" s="192" t="str">
        <f t="shared" si="0"/>
        <v/>
      </c>
      <c r="G27" s="274"/>
    </row>
    <row r="28" spans="1:7" x14ac:dyDescent="0.45">
      <c r="A28" s="112" t="s">
        <v>17</v>
      </c>
      <c r="B28" s="115" t="s">
        <v>321</v>
      </c>
      <c r="C28" s="88">
        <v>1</v>
      </c>
      <c r="D28" s="112" t="s">
        <v>31</v>
      </c>
      <c r="E28" s="116">
        <v>1000</v>
      </c>
      <c r="F28" s="192">
        <f t="shared" si="0"/>
        <v>1000</v>
      </c>
      <c r="G28" s="36" t="s">
        <v>504</v>
      </c>
    </row>
    <row r="29" spans="1:7" x14ac:dyDescent="0.45">
      <c r="A29" s="112"/>
      <c r="B29" s="115"/>
      <c r="C29" s="112"/>
      <c r="D29" s="112"/>
      <c r="E29" s="113"/>
      <c r="F29" s="192" t="str">
        <f t="shared" si="0"/>
        <v/>
      </c>
      <c r="G29" s="274"/>
    </row>
    <row r="30" spans="1:7" ht="61.5" x14ac:dyDescent="0.45">
      <c r="A30" s="112"/>
      <c r="B30" s="2" t="s">
        <v>322</v>
      </c>
      <c r="C30" s="88"/>
      <c r="D30" s="112"/>
      <c r="E30" s="116"/>
      <c r="F30" s="192" t="str">
        <f t="shared" si="0"/>
        <v/>
      </c>
      <c r="G30" s="121" t="s">
        <v>320</v>
      </c>
    </row>
    <row r="31" spans="1:7" x14ac:dyDescent="0.45">
      <c r="A31" s="112"/>
      <c r="B31" s="115"/>
      <c r="C31" s="112"/>
      <c r="D31" s="112"/>
      <c r="E31" s="113"/>
      <c r="F31" s="192" t="str">
        <f t="shared" si="0"/>
        <v/>
      </c>
      <c r="G31" s="274"/>
    </row>
    <row r="32" spans="1:7" ht="30.75" x14ac:dyDescent="0.45">
      <c r="A32" s="112" t="s">
        <v>18</v>
      </c>
      <c r="B32" s="115" t="s">
        <v>323</v>
      </c>
      <c r="C32" s="88">
        <f>22*0.48</f>
        <v>10.559999999999999</v>
      </c>
      <c r="D32" s="112" t="s">
        <v>136</v>
      </c>
      <c r="E32" s="277">
        <f>(68+6.2)*1.2</f>
        <v>89.04</v>
      </c>
      <c r="F32" s="192">
        <f t="shared" si="0"/>
        <v>940.26239999999996</v>
      </c>
    </row>
    <row r="33" spans="1:7" x14ac:dyDescent="0.45">
      <c r="A33" s="112"/>
      <c r="B33" s="115"/>
      <c r="C33" s="112"/>
      <c r="D33" s="112"/>
      <c r="E33" s="113"/>
      <c r="F33" s="192" t="str">
        <f t="shared" si="0"/>
        <v/>
      </c>
      <c r="G33" s="274"/>
    </row>
    <row r="34" spans="1:7" x14ac:dyDescent="0.45">
      <c r="A34" s="112" t="s">
        <v>19</v>
      </c>
      <c r="B34" s="115" t="s">
        <v>340</v>
      </c>
      <c r="C34" s="89">
        <v>22</v>
      </c>
      <c r="D34" s="112" t="s">
        <v>42</v>
      </c>
      <c r="E34" s="116">
        <v>1.5</v>
      </c>
      <c r="F34" s="192">
        <f t="shared" si="0"/>
        <v>33</v>
      </c>
      <c r="G34" s="274"/>
    </row>
    <row r="35" spans="1:7" x14ac:dyDescent="0.45">
      <c r="A35" s="112"/>
      <c r="B35" s="115"/>
      <c r="C35" s="112"/>
      <c r="D35" s="112"/>
      <c r="E35" s="113"/>
      <c r="F35" s="192" t="str">
        <f t="shared" si="0"/>
        <v/>
      </c>
      <c r="G35" s="274"/>
    </row>
    <row r="36" spans="1:7" x14ac:dyDescent="0.45">
      <c r="A36" s="112" t="s">
        <v>4</v>
      </c>
      <c r="B36" s="115" t="s">
        <v>314</v>
      </c>
      <c r="C36" s="88">
        <f>22*0.3</f>
        <v>6.6</v>
      </c>
      <c r="D36" s="112" t="s">
        <v>136</v>
      </c>
      <c r="E36" s="116">
        <v>64</v>
      </c>
      <c r="F36" s="192">
        <f t="shared" si="0"/>
        <v>422.4</v>
      </c>
    </row>
    <row r="37" spans="1:7" x14ac:dyDescent="0.45">
      <c r="A37" s="112"/>
      <c r="B37" s="115"/>
      <c r="C37" s="112"/>
      <c r="D37" s="112"/>
      <c r="E37" s="113"/>
      <c r="F37" s="192" t="str">
        <f t="shared" si="0"/>
        <v/>
      </c>
      <c r="G37" s="274"/>
    </row>
    <row r="38" spans="1:7" x14ac:dyDescent="0.45">
      <c r="A38" s="112" t="s">
        <v>37</v>
      </c>
      <c r="B38" s="115" t="s">
        <v>315</v>
      </c>
      <c r="C38" s="88">
        <v>22</v>
      </c>
      <c r="D38" s="112" t="s">
        <v>42</v>
      </c>
      <c r="E38" s="116">
        <v>35</v>
      </c>
      <c r="F38" s="192">
        <f t="shared" si="0"/>
        <v>770</v>
      </c>
    </row>
    <row r="39" spans="1:7" x14ac:dyDescent="0.45">
      <c r="A39" s="112"/>
      <c r="B39" s="115"/>
      <c r="C39" s="112"/>
      <c r="D39" s="112"/>
      <c r="E39" s="116"/>
      <c r="F39" s="192" t="str">
        <f t="shared" si="0"/>
        <v/>
      </c>
      <c r="G39" s="274"/>
    </row>
    <row r="40" spans="1:7" ht="30.75" x14ac:dyDescent="0.45">
      <c r="A40" s="112" t="s">
        <v>105</v>
      </c>
      <c r="B40" s="115" t="s">
        <v>316</v>
      </c>
      <c r="C40" s="88">
        <v>22</v>
      </c>
      <c r="D40" s="112" t="s">
        <v>42</v>
      </c>
      <c r="E40" s="116">
        <v>34</v>
      </c>
      <c r="F40" s="192">
        <f t="shared" si="0"/>
        <v>748</v>
      </c>
    </row>
    <row r="41" spans="1:7" x14ac:dyDescent="0.45">
      <c r="A41" s="112"/>
      <c r="B41" s="112"/>
      <c r="C41" s="112"/>
      <c r="D41" s="112"/>
      <c r="E41" s="113"/>
      <c r="F41" s="192" t="str">
        <f t="shared" si="0"/>
        <v/>
      </c>
      <c r="G41" s="274"/>
    </row>
    <row r="42" spans="1:7" x14ac:dyDescent="0.45">
      <c r="A42" s="112" t="s">
        <v>106</v>
      </c>
      <c r="B42" s="115" t="s">
        <v>399</v>
      </c>
      <c r="C42" s="88">
        <v>22</v>
      </c>
      <c r="D42" s="112" t="s">
        <v>42</v>
      </c>
      <c r="E42" s="116">
        <v>2</v>
      </c>
      <c r="F42" s="192">
        <f t="shared" si="0"/>
        <v>44</v>
      </c>
      <c r="G42" s="274"/>
    </row>
    <row r="43" spans="1:7" x14ac:dyDescent="0.45">
      <c r="A43" s="112"/>
      <c r="B43" s="112"/>
      <c r="C43" s="112"/>
      <c r="D43" s="112"/>
      <c r="E43" s="113"/>
      <c r="F43" s="192" t="str">
        <f t="shared" si="0"/>
        <v/>
      </c>
      <c r="G43" s="274"/>
    </row>
    <row r="44" spans="1:7" ht="30.75" x14ac:dyDescent="0.45">
      <c r="A44" s="112" t="s">
        <v>107</v>
      </c>
      <c r="B44" s="115" t="s">
        <v>317</v>
      </c>
      <c r="C44" s="88">
        <v>22</v>
      </c>
      <c r="D44" s="112" t="s">
        <v>42</v>
      </c>
      <c r="E44" s="277">
        <v>31</v>
      </c>
      <c r="F44" s="192">
        <f t="shared" si="0"/>
        <v>682</v>
      </c>
    </row>
    <row r="45" spans="1:7" x14ac:dyDescent="0.45">
      <c r="A45" s="112"/>
      <c r="B45" s="115"/>
      <c r="C45" s="88"/>
      <c r="D45" s="112"/>
      <c r="E45" s="116"/>
      <c r="F45" s="192" t="str">
        <f t="shared" si="0"/>
        <v/>
      </c>
    </row>
    <row r="46" spans="1:7" x14ac:dyDescent="0.45">
      <c r="A46" s="112" t="s">
        <v>108</v>
      </c>
      <c r="B46" s="115" t="s">
        <v>324</v>
      </c>
      <c r="C46" s="88">
        <v>9</v>
      </c>
      <c r="D46" s="112" t="s">
        <v>30</v>
      </c>
      <c r="E46" s="116">
        <v>32.5</v>
      </c>
      <c r="F46" s="192">
        <f t="shared" si="0"/>
        <v>292.5</v>
      </c>
    </row>
    <row r="47" spans="1:7" x14ac:dyDescent="0.35">
      <c r="A47" s="112"/>
      <c r="B47" s="118"/>
      <c r="C47" s="88"/>
      <c r="D47" s="112"/>
      <c r="E47" s="116"/>
      <c r="F47" s="117"/>
    </row>
    <row r="48" spans="1:7" x14ac:dyDescent="0.35">
      <c r="A48" s="38"/>
      <c r="B48" s="6"/>
      <c r="C48" s="6"/>
      <c r="D48" s="23"/>
      <c r="E48" s="6"/>
      <c r="F48" s="31"/>
      <c r="G48" s="175"/>
    </row>
    <row r="49" spans="1:7" x14ac:dyDescent="0.35">
      <c r="A49" s="39"/>
      <c r="B49" s="9"/>
      <c r="C49" s="9"/>
      <c r="D49" s="40" t="s">
        <v>27</v>
      </c>
      <c r="E49" s="40" t="s">
        <v>20</v>
      </c>
      <c r="F49" s="33">
        <f>SUM(F5:F46)</f>
        <v>16299.3928</v>
      </c>
      <c r="G49" s="175"/>
    </row>
    <row r="50" spans="1:7" x14ac:dyDescent="0.35">
      <c r="A50" s="41"/>
      <c r="B50" s="12"/>
      <c r="C50" s="12"/>
      <c r="D50" s="24"/>
      <c r="E50" s="12"/>
      <c r="F50" s="34"/>
      <c r="G50" s="175"/>
    </row>
    <row r="51" spans="1:7" x14ac:dyDescent="0.35">
      <c r="A51" s="25"/>
      <c r="B51" s="27"/>
      <c r="C51" s="18"/>
      <c r="D51" s="25"/>
      <c r="E51" s="17"/>
      <c r="F51" s="30"/>
      <c r="G51" s="36"/>
    </row>
    <row r="52" spans="1:7" x14ac:dyDescent="0.35">
      <c r="A52" s="25"/>
      <c r="B52" s="22" t="s">
        <v>28</v>
      </c>
      <c r="C52" s="18"/>
      <c r="D52" s="25"/>
      <c r="E52" s="17"/>
      <c r="F52" s="30"/>
      <c r="G52" s="36"/>
    </row>
    <row r="53" spans="1:7" x14ac:dyDescent="0.35">
      <c r="A53" s="25"/>
      <c r="B53" s="20"/>
      <c r="C53" s="18"/>
      <c r="D53" s="25"/>
      <c r="E53" s="17"/>
      <c r="F53" s="30"/>
      <c r="G53" s="36"/>
    </row>
    <row r="54" spans="1:7" x14ac:dyDescent="0.35">
      <c r="A54" s="25"/>
      <c r="B54" s="19" t="s">
        <v>325</v>
      </c>
      <c r="C54" s="18"/>
      <c r="D54" s="25"/>
      <c r="E54" s="17"/>
      <c r="F54" s="30"/>
      <c r="G54" s="36"/>
    </row>
    <row r="55" spans="1:7" x14ac:dyDescent="0.35">
      <c r="A55" s="25"/>
      <c r="B55" s="27"/>
      <c r="C55" s="18"/>
      <c r="D55" s="25"/>
      <c r="E55" s="17"/>
      <c r="F55" s="30"/>
      <c r="G55" s="36"/>
    </row>
    <row r="56" spans="1:7" x14ac:dyDescent="0.45">
      <c r="A56" s="25"/>
      <c r="B56" s="2" t="s">
        <v>326</v>
      </c>
      <c r="C56" s="18"/>
      <c r="D56" s="25"/>
      <c r="E56" s="17"/>
      <c r="F56" s="192" t="str">
        <f t="shared" ref="F56:F118" si="1">IF(C56="","",(C56*E56))</f>
        <v/>
      </c>
      <c r="G56" s="36"/>
    </row>
    <row r="57" spans="1:7" x14ac:dyDescent="0.45">
      <c r="A57" s="25"/>
      <c r="B57" s="27"/>
      <c r="C57" s="18"/>
      <c r="D57" s="25"/>
      <c r="E57" s="17"/>
      <c r="F57" s="192" t="str">
        <f t="shared" si="1"/>
        <v/>
      </c>
      <c r="G57" s="36"/>
    </row>
    <row r="58" spans="1:7" ht="46.15" x14ac:dyDescent="0.45">
      <c r="A58" s="25" t="s">
        <v>109</v>
      </c>
      <c r="B58" s="181" t="s">
        <v>329</v>
      </c>
      <c r="C58" s="135">
        <f>(193*0.24)*1.3</f>
        <v>60.216000000000001</v>
      </c>
      <c r="D58" s="136" t="s">
        <v>136</v>
      </c>
      <c r="E58" s="277">
        <f>(68+6.2)*1.2</f>
        <v>89.04</v>
      </c>
      <c r="F58" s="192">
        <f t="shared" si="1"/>
        <v>5361.6326400000007</v>
      </c>
      <c r="G58" s="36" t="s">
        <v>327</v>
      </c>
    </row>
    <row r="59" spans="1:7" x14ac:dyDescent="0.45">
      <c r="A59" s="25"/>
      <c r="B59" s="2"/>
      <c r="C59" s="18"/>
      <c r="D59" s="25"/>
      <c r="E59" s="277"/>
      <c r="F59" s="192"/>
      <c r="G59" s="36"/>
    </row>
    <row r="60" spans="1:7" x14ac:dyDescent="0.45">
      <c r="A60" s="25" t="s">
        <v>110</v>
      </c>
      <c r="B60" s="115" t="s">
        <v>340</v>
      </c>
      <c r="C60" s="89">
        <v>193</v>
      </c>
      <c r="D60" s="112" t="s">
        <v>42</v>
      </c>
      <c r="E60" s="116">
        <v>1.5</v>
      </c>
      <c r="F60" s="192">
        <f t="shared" si="1"/>
        <v>289.5</v>
      </c>
      <c r="G60" s="36"/>
    </row>
    <row r="61" spans="1:7" x14ac:dyDescent="0.45">
      <c r="A61" s="25"/>
      <c r="C61" s="18"/>
      <c r="D61" s="25"/>
      <c r="E61" s="17"/>
      <c r="F61" s="192" t="str">
        <f t="shared" si="1"/>
        <v/>
      </c>
      <c r="G61" s="36"/>
    </row>
    <row r="62" spans="1:7" x14ac:dyDescent="0.45">
      <c r="A62" s="25" t="s">
        <v>111</v>
      </c>
      <c r="B62" s="100" t="s">
        <v>341</v>
      </c>
      <c r="C62" s="18">
        <v>193</v>
      </c>
      <c r="D62" s="25" t="s">
        <v>42</v>
      </c>
      <c r="E62" s="17">
        <v>1.75</v>
      </c>
      <c r="F62" s="192">
        <f t="shared" si="1"/>
        <v>337.75</v>
      </c>
      <c r="G62" s="36"/>
    </row>
    <row r="63" spans="1:7" x14ac:dyDescent="0.45">
      <c r="A63" s="25"/>
      <c r="C63" s="18"/>
      <c r="D63" s="25"/>
      <c r="E63" s="17"/>
      <c r="F63" s="192" t="str">
        <f t="shared" si="1"/>
        <v/>
      </c>
      <c r="G63" s="36"/>
    </row>
    <row r="64" spans="1:7" x14ac:dyDescent="0.45">
      <c r="A64" s="25" t="s">
        <v>112</v>
      </c>
      <c r="B64" s="100" t="s">
        <v>328</v>
      </c>
      <c r="C64" s="18">
        <f>193*0.15</f>
        <v>28.95</v>
      </c>
      <c r="D64" s="25" t="s">
        <v>136</v>
      </c>
      <c r="E64" s="17">
        <v>44</v>
      </c>
      <c r="F64" s="192">
        <f t="shared" si="1"/>
        <v>1273.8</v>
      </c>
      <c r="G64" s="36"/>
    </row>
    <row r="65" spans="1:7" x14ac:dyDescent="0.45">
      <c r="A65" s="25"/>
      <c r="B65" s="27"/>
      <c r="C65" s="18"/>
      <c r="D65" s="25"/>
      <c r="E65" s="17"/>
      <c r="F65" s="192" t="str">
        <f t="shared" si="1"/>
        <v/>
      </c>
      <c r="G65" s="36"/>
    </row>
    <row r="66" spans="1:7" x14ac:dyDescent="0.45">
      <c r="A66" s="25" t="s">
        <v>191</v>
      </c>
      <c r="B66" s="2" t="s">
        <v>330</v>
      </c>
      <c r="C66" s="18">
        <v>193</v>
      </c>
      <c r="D66" s="25" t="s">
        <v>42</v>
      </c>
      <c r="E66" s="17">
        <v>50</v>
      </c>
      <c r="F66" s="192">
        <f t="shared" si="1"/>
        <v>9650</v>
      </c>
      <c r="G66" s="36"/>
    </row>
    <row r="67" spans="1:7" x14ac:dyDescent="0.45">
      <c r="A67" s="25"/>
      <c r="B67" s="2"/>
      <c r="C67" s="18"/>
      <c r="D67" s="25"/>
      <c r="E67" s="17"/>
      <c r="F67" s="192" t="str">
        <f t="shared" si="1"/>
        <v/>
      </c>
      <c r="G67" s="36"/>
    </row>
    <row r="68" spans="1:7" x14ac:dyDescent="0.45">
      <c r="A68" s="25" t="s">
        <v>192</v>
      </c>
      <c r="B68" s="115" t="s">
        <v>399</v>
      </c>
      <c r="C68" s="18">
        <v>193</v>
      </c>
      <c r="D68" s="25" t="s">
        <v>42</v>
      </c>
      <c r="E68" s="17">
        <v>2</v>
      </c>
      <c r="F68" s="192">
        <f t="shared" si="1"/>
        <v>386</v>
      </c>
      <c r="G68" s="36"/>
    </row>
    <row r="69" spans="1:7" x14ac:dyDescent="0.45">
      <c r="A69" s="25"/>
      <c r="B69" s="27"/>
      <c r="C69" s="18"/>
      <c r="D69" s="25"/>
      <c r="E69" s="17"/>
      <c r="F69" s="192" t="str">
        <f t="shared" si="1"/>
        <v/>
      </c>
      <c r="G69" s="36"/>
    </row>
    <row r="70" spans="1:7" ht="30.75" x14ac:dyDescent="0.45">
      <c r="A70" s="25" t="s">
        <v>193</v>
      </c>
      <c r="B70" s="27" t="s">
        <v>503</v>
      </c>
      <c r="C70" s="135">
        <v>193</v>
      </c>
      <c r="D70" s="136" t="s">
        <v>42</v>
      </c>
      <c r="E70" s="193">
        <v>44</v>
      </c>
      <c r="F70" s="192">
        <f t="shared" si="1"/>
        <v>8492</v>
      </c>
      <c r="G70" s="36"/>
    </row>
    <row r="71" spans="1:7" x14ac:dyDescent="0.45">
      <c r="A71" s="25"/>
      <c r="B71" s="27"/>
      <c r="C71" s="18"/>
      <c r="D71" s="25"/>
      <c r="E71" s="17"/>
      <c r="F71" s="192" t="str">
        <f t="shared" si="1"/>
        <v/>
      </c>
      <c r="G71" s="36"/>
    </row>
    <row r="72" spans="1:7" x14ac:dyDescent="0.45">
      <c r="A72" s="25" t="s">
        <v>194</v>
      </c>
      <c r="B72" s="27" t="s">
        <v>321</v>
      </c>
      <c r="C72" s="18">
        <v>1</v>
      </c>
      <c r="D72" s="25" t="s">
        <v>31</v>
      </c>
      <c r="E72" s="17">
        <v>1000</v>
      </c>
      <c r="F72" s="192">
        <f t="shared" si="1"/>
        <v>1000</v>
      </c>
      <c r="G72" s="36" t="s">
        <v>504</v>
      </c>
    </row>
    <row r="73" spans="1:7" x14ac:dyDescent="0.45">
      <c r="A73" s="25"/>
      <c r="B73" s="27"/>
      <c r="C73" s="18"/>
      <c r="D73" s="25"/>
      <c r="E73" s="17"/>
      <c r="F73" s="192" t="str">
        <f t="shared" si="1"/>
        <v/>
      </c>
      <c r="G73" s="36"/>
    </row>
    <row r="74" spans="1:7" x14ac:dyDescent="0.45">
      <c r="A74" s="25"/>
      <c r="B74" s="100" t="s">
        <v>331</v>
      </c>
      <c r="C74" s="18"/>
      <c r="D74" s="25"/>
      <c r="E74" s="17"/>
      <c r="F74" s="192" t="str">
        <f t="shared" si="1"/>
        <v/>
      </c>
      <c r="G74" s="36"/>
    </row>
    <row r="75" spans="1:7" x14ac:dyDescent="0.45">
      <c r="A75" s="25"/>
      <c r="B75" s="27"/>
      <c r="C75" s="18"/>
      <c r="D75" s="25"/>
      <c r="E75" s="17"/>
      <c r="F75" s="192" t="str">
        <f t="shared" si="1"/>
        <v/>
      </c>
      <c r="G75" s="36"/>
    </row>
    <row r="76" spans="1:7" ht="46.15" x14ac:dyDescent="0.45">
      <c r="A76" s="25" t="s">
        <v>195</v>
      </c>
      <c r="B76" s="358" t="s">
        <v>329</v>
      </c>
      <c r="C76" s="135">
        <f>(181*0.24)*1.3</f>
        <v>56.472000000000001</v>
      </c>
      <c r="D76" s="136" t="s">
        <v>136</v>
      </c>
      <c r="E76" s="277">
        <f>(68+6.2)*1.2</f>
        <v>89.04</v>
      </c>
      <c r="F76" s="192">
        <f t="shared" si="1"/>
        <v>5028.2668800000001</v>
      </c>
      <c r="G76" s="36" t="s">
        <v>327</v>
      </c>
    </row>
    <row r="77" spans="1:7" x14ac:dyDescent="0.45">
      <c r="A77" s="25"/>
      <c r="B77" s="27"/>
      <c r="C77" s="18"/>
      <c r="D77" s="25"/>
      <c r="E77" s="357"/>
      <c r="F77" s="192"/>
      <c r="G77" s="36"/>
    </row>
    <row r="78" spans="1:7" x14ac:dyDescent="0.45">
      <c r="A78" s="25" t="s">
        <v>196</v>
      </c>
      <c r="B78" s="115" t="s">
        <v>340</v>
      </c>
      <c r="C78" s="89">
        <v>181</v>
      </c>
      <c r="D78" s="112" t="s">
        <v>42</v>
      </c>
      <c r="E78" s="116">
        <v>1.5</v>
      </c>
      <c r="F78" s="192">
        <f t="shared" si="1"/>
        <v>271.5</v>
      </c>
      <c r="G78" s="36"/>
    </row>
    <row r="79" spans="1:7" x14ac:dyDescent="0.45">
      <c r="A79" s="25"/>
      <c r="C79" s="18"/>
      <c r="D79" s="25"/>
      <c r="E79" s="17"/>
      <c r="F79" s="192" t="str">
        <f t="shared" si="1"/>
        <v/>
      </c>
      <c r="G79" s="36"/>
    </row>
    <row r="80" spans="1:7" x14ac:dyDescent="0.45">
      <c r="A80" s="25" t="s">
        <v>197</v>
      </c>
      <c r="B80" s="100" t="s">
        <v>341</v>
      </c>
      <c r="C80" s="18">
        <v>181</v>
      </c>
      <c r="D80" s="25" t="s">
        <v>42</v>
      </c>
      <c r="E80" s="17">
        <v>1.75</v>
      </c>
      <c r="F80" s="192">
        <f t="shared" si="1"/>
        <v>316.75</v>
      </c>
      <c r="G80" s="36"/>
    </row>
    <row r="81" spans="1:7" x14ac:dyDescent="0.45">
      <c r="A81" s="25"/>
      <c r="B81" s="27"/>
      <c r="C81" s="18"/>
      <c r="D81" s="25"/>
      <c r="E81" s="17"/>
      <c r="F81" s="192" t="str">
        <f t="shared" si="1"/>
        <v/>
      </c>
      <c r="G81" s="36"/>
    </row>
    <row r="82" spans="1:7" x14ac:dyDescent="0.45">
      <c r="A82" s="25" t="s">
        <v>198</v>
      </c>
      <c r="B82" s="27" t="s">
        <v>328</v>
      </c>
      <c r="C82" s="18">
        <f>181*0.15</f>
        <v>27.15</v>
      </c>
      <c r="D82" s="25" t="s">
        <v>136</v>
      </c>
      <c r="E82" s="17">
        <v>44</v>
      </c>
      <c r="F82" s="192">
        <f t="shared" si="1"/>
        <v>1194.5999999999999</v>
      </c>
      <c r="G82" s="36"/>
    </row>
    <row r="83" spans="1:7" x14ac:dyDescent="0.45">
      <c r="A83" s="25"/>
      <c r="B83" s="27"/>
      <c r="C83" s="18"/>
      <c r="D83" s="25"/>
      <c r="E83" s="17"/>
      <c r="F83" s="192" t="str">
        <f t="shared" si="1"/>
        <v/>
      </c>
      <c r="G83" s="36"/>
    </row>
    <row r="84" spans="1:7" x14ac:dyDescent="0.45">
      <c r="A84" s="25" t="s">
        <v>199</v>
      </c>
      <c r="B84" s="27" t="s">
        <v>330</v>
      </c>
      <c r="C84" s="18">
        <v>181</v>
      </c>
      <c r="D84" s="25" t="s">
        <v>42</v>
      </c>
      <c r="E84" s="17">
        <v>50</v>
      </c>
      <c r="F84" s="192">
        <f t="shared" si="1"/>
        <v>9050</v>
      </c>
      <c r="G84" s="36"/>
    </row>
    <row r="85" spans="1:7" x14ac:dyDescent="0.45">
      <c r="A85" s="25"/>
      <c r="B85" s="27"/>
      <c r="C85" s="18"/>
      <c r="D85" s="25"/>
      <c r="E85" s="17"/>
      <c r="F85" s="192" t="str">
        <f t="shared" si="1"/>
        <v/>
      </c>
      <c r="G85" s="36"/>
    </row>
    <row r="86" spans="1:7" x14ac:dyDescent="0.45">
      <c r="A86" s="25" t="s">
        <v>200</v>
      </c>
      <c r="B86" s="27" t="s">
        <v>399</v>
      </c>
      <c r="C86" s="18">
        <f>C84</f>
        <v>181</v>
      </c>
      <c r="D86" s="25" t="s">
        <v>42</v>
      </c>
      <c r="E86" s="17">
        <v>2</v>
      </c>
      <c r="F86" s="192">
        <f t="shared" si="1"/>
        <v>362</v>
      </c>
      <c r="G86" s="36"/>
    </row>
    <row r="87" spans="1:7" x14ac:dyDescent="0.45">
      <c r="A87" s="25"/>
      <c r="B87" s="27"/>
      <c r="C87" s="18"/>
      <c r="D87" s="25"/>
      <c r="E87" s="17"/>
      <c r="F87" s="192" t="str">
        <f t="shared" si="1"/>
        <v/>
      </c>
      <c r="G87" s="36"/>
    </row>
    <row r="88" spans="1:7" ht="30.75" x14ac:dyDescent="0.45">
      <c r="A88" s="25" t="s">
        <v>201</v>
      </c>
      <c r="B88" s="27" t="s">
        <v>505</v>
      </c>
      <c r="C88" s="18">
        <v>181</v>
      </c>
      <c r="D88" s="25" t="s">
        <v>42</v>
      </c>
      <c r="E88" s="17">
        <v>42</v>
      </c>
      <c r="F88" s="192">
        <f t="shared" si="1"/>
        <v>7602</v>
      </c>
      <c r="G88" s="36"/>
    </row>
    <row r="89" spans="1:7" x14ac:dyDescent="0.45">
      <c r="A89" s="25"/>
      <c r="B89" s="27"/>
      <c r="C89" s="18"/>
      <c r="D89" s="25"/>
      <c r="E89" s="17"/>
      <c r="F89" s="192" t="str">
        <f t="shared" si="1"/>
        <v/>
      </c>
      <c r="G89" s="36"/>
    </row>
    <row r="90" spans="1:7" x14ac:dyDescent="0.45">
      <c r="A90" s="25" t="s">
        <v>202</v>
      </c>
      <c r="B90" s="27" t="s">
        <v>321</v>
      </c>
      <c r="C90" s="18">
        <v>1</v>
      </c>
      <c r="D90" s="25" t="s">
        <v>31</v>
      </c>
      <c r="E90" s="17">
        <v>1000</v>
      </c>
      <c r="F90" s="192">
        <f t="shared" si="1"/>
        <v>1000</v>
      </c>
      <c r="G90" s="36" t="s">
        <v>504</v>
      </c>
    </row>
    <row r="91" spans="1:7" x14ac:dyDescent="0.45">
      <c r="A91" s="25"/>
      <c r="B91" s="27"/>
      <c r="C91" s="18"/>
      <c r="D91" s="25"/>
      <c r="E91" s="17"/>
      <c r="F91" s="192" t="str">
        <f t="shared" si="1"/>
        <v/>
      </c>
      <c r="G91" s="36"/>
    </row>
    <row r="92" spans="1:7" x14ac:dyDescent="0.45">
      <c r="A92" s="25"/>
      <c r="B92" s="28" t="s">
        <v>332</v>
      </c>
      <c r="C92" s="18"/>
      <c r="D92" s="25"/>
      <c r="E92" s="17"/>
      <c r="F92" s="192" t="str">
        <f t="shared" si="1"/>
        <v/>
      </c>
      <c r="G92" s="36"/>
    </row>
    <row r="93" spans="1:7" x14ac:dyDescent="0.45">
      <c r="A93" s="25"/>
      <c r="B93" s="27"/>
      <c r="C93" s="18"/>
      <c r="D93" s="25"/>
      <c r="E93" s="17"/>
      <c r="F93" s="192" t="str">
        <f t="shared" si="1"/>
        <v/>
      </c>
      <c r="G93" s="36"/>
    </row>
    <row r="94" spans="1:7" ht="46.15" x14ac:dyDescent="0.45">
      <c r="A94" s="25" t="s">
        <v>203</v>
      </c>
      <c r="B94" s="358" t="s">
        <v>329</v>
      </c>
      <c r="C94" s="135">
        <f>(13*0.16)*1.3</f>
        <v>2.7040000000000002</v>
      </c>
      <c r="D94" s="136" t="s">
        <v>136</v>
      </c>
      <c r="E94" s="277">
        <f>(68+6.2)*1.2</f>
        <v>89.04</v>
      </c>
      <c r="F94" s="192">
        <f t="shared" si="1"/>
        <v>240.76416000000003</v>
      </c>
      <c r="G94" s="36" t="s">
        <v>327</v>
      </c>
    </row>
    <row r="95" spans="1:7" x14ac:dyDescent="0.45">
      <c r="A95" s="25"/>
      <c r="B95" s="27"/>
      <c r="C95" s="18"/>
      <c r="D95" s="25"/>
      <c r="E95" s="17"/>
      <c r="F95" s="192" t="str">
        <f t="shared" si="1"/>
        <v/>
      </c>
      <c r="G95" s="36"/>
    </row>
    <row r="96" spans="1:7" x14ac:dyDescent="0.45">
      <c r="A96" s="25" t="s">
        <v>204</v>
      </c>
      <c r="B96" s="27" t="s">
        <v>340</v>
      </c>
      <c r="C96" s="18">
        <v>13</v>
      </c>
      <c r="D96" s="25" t="s">
        <v>42</v>
      </c>
      <c r="E96" s="116">
        <v>1.5</v>
      </c>
      <c r="F96" s="192">
        <f t="shared" si="1"/>
        <v>19.5</v>
      </c>
      <c r="G96" s="36"/>
    </row>
    <row r="97" spans="1:7" x14ac:dyDescent="0.45">
      <c r="A97" s="25"/>
      <c r="B97" s="27"/>
      <c r="C97" s="18"/>
      <c r="D97" s="25"/>
      <c r="E97" s="17"/>
      <c r="F97" s="192" t="str">
        <f t="shared" si="1"/>
        <v/>
      </c>
      <c r="G97" s="36"/>
    </row>
    <row r="98" spans="1:7" x14ac:dyDescent="0.45">
      <c r="A98" s="25" t="s">
        <v>205</v>
      </c>
      <c r="B98" s="27" t="s">
        <v>333</v>
      </c>
      <c r="C98" s="18">
        <f>13*0.1</f>
        <v>1.3</v>
      </c>
      <c r="D98" s="25" t="s">
        <v>136</v>
      </c>
      <c r="E98" s="116">
        <v>64</v>
      </c>
      <c r="F98" s="192">
        <f t="shared" si="1"/>
        <v>83.2</v>
      </c>
      <c r="G98" s="36"/>
    </row>
    <row r="99" spans="1:7" x14ac:dyDescent="0.45">
      <c r="A99" s="25"/>
      <c r="B99" s="27"/>
      <c r="C99" s="18"/>
      <c r="D99" s="25"/>
      <c r="E99" s="17"/>
      <c r="F99" s="192" t="str">
        <f t="shared" si="1"/>
        <v/>
      </c>
      <c r="G99" s="36"/>
    </row>
    <row r="100" spans="1:7" x14ac:dyDescent="0.45">
      <c r="A100" s="25" t="s">
        <v>253</v>
      </c>
      <c r="B100" s="27" t="s">
        <v>334</v>
      </c>
      <c r="C100" s="18">
        <v>13</v>
      </c>
      <c r="D100" s="25" t="s">
        <v>42</v>
      </c>
      <c r="E100" s="17">
        <v>24</v>
      </c>
      <c r="F100" s="192">
        <f t="shared" si="1"/>
        <v>312</v>
      </c>
      <c r="G100" s="36"/>
    </row>
    <row r="101" spans="1:7" x14ac:dyDescent="0.45">
      <c r="A101" s="25"/>
      <c r="B101" s="27"/>
      <c r="C101" s="18"/>
      <c r="D101" s="25"/>
      <c r="E101" s="17"/>
      <c r="F101" s="192" t="str">
        <f t="shared" si="1"/>
        <v/>
      </c>
      <c r="G101" s="36"/>
    </row>
    <row r="102" spans="1:7" x14ac:dyDescent="0.45">
      <c r="A102" s="25" t="s">
        <v>254</v>
      </c>
      <c r="B102" s="27" t="s">
        <v>399</v>
      </c>
      <c r="C102" s="18">
        <v>13</v>
      </c>
      <c r="D102" s="25" t="s">
        <v>42</v>
      </c>
      <c r="E102" s="17">
        <v>2</v>
      </c>
      <c r="F102" s="192">
        <f t="shared" si="1"/>
        <v>26</v>
      </c>
      <c r="G102" s="36"/>
    </row>
    <row r="103" spans="1:7" x14ac:dyDescent="0.45">
      <c r="A103" s="25"/>
      <c r="B103" s="27"/>
      <c r="C103" s="18"/>
      <c r="D103" s="25"/>
      <c r="E103" s="17"/>
      <c r="F103" s="192" t="str">
        <f t="shared" si="1"/>
        <v/>
      </c>
      <c r="G103" s="36"/>
    </row>
    <row r="104" spans="1:7" x14ac:dyDescent="0.45">
      <c r="A104" s="25" t="s">
        <v>255</v>
      </c>
      <c r="B104" s="27" t="s">
        <v>335</v>
      </c>
      <c r="C104" s="18">
        <v>13</v>
      </c>
      <c r="D104" s="25" t="s">
        <v>42</v>
      </c>
      <c r="E104" s="17">
        <v>19</v>
      </c>
      <c r="F104" s="192">
        <f t="shared" si="1"/>
        <v>247</v>
      </c>
      <c r="G104" s="36"/>
    </row>
    <row r="105" spans="1:7" x14ac:dyDescent="0.45">
      <c r="A105" s="25"/>
      <c r="B105" s="27"/>
      <c r="C105" s="18"/>
      <c r="D105" s="25"/>
      <c r="E105" s="17"/>
      <c r="F105" s="192" t="str">
        <f t="shared" si="1"/>
        <v/>
      </c>
      <c r="G105" s="36"/>
    </row>
    <row r="106" spans="1:7" x14ac:dyDescent="0.45">
      <c r="A106" s="25"/>
      <c r="B106" s="28" t="s">
        <v>336</v>
      </c>
      <c r="C106" s="18"/>
      <c r="D106" s="25"/>
      <c r="E106" s="17"/>
      <c r="F106" s="192" t="str">
        <f t="shared" si="1"/>
        <v/>
      </c>
      <c r="G106" s="36"/>
    </row>
    <row r="107" spans="1:7" x14ac:dyDescent="0.45">
      <c r="A107" s="25"/>
      <c r="B107" s="27"/>
      <c r="C107" s="18"/>
      <c r="D107" s="25"/>
      <c r="E107" s="17"/>
      <c r="F107" s="192" t="str">
        <f t="shared" si="1"/>
        <v/>
      </c>
      <c r="G107" s="36"/>
    </row>
    <row r="108" spans="1:7" ht="46.15" x14ac:dyDescent="0.45">
      <c r="A108" s="25" t="s">
        <v>256</v>
      </c>
      <c r="B108" s="27" t="s">
        <v>329</v>
      </c>
      <c r="C108" s="18">
        <f>(173*0.2)*1.3</f>
        <v>44.980000000000004</v>
      </c>
      <c r="D108" s="25" t="s">
        <v>136</v>
      </c>
      <c r="E108" s="277">
        <f>(68+6.2)*1.2</f>
        <v>89.04</v>
      </c>
      <c r="F108" s="192">
        <f t="shared" si="1"/>
        <v>4005.0192000000006</v>
      </c>
      <c r="G108" s="36" t="s">
        <v>327</v>
      </c>
    </row>
    <row r="109" spans="1:7" x14ac:dyDescent="0.45">
      <c r="A109" s="25"/>
      <c r="B109" s="27"/>
      <c r="C109" s="18"/>
      <c r="D109" s="25"/>
      <c r="E109" s="357"/>
      <c r="F109" s="192"/>
      <c r="G109" s="36"/>
    </row>
    <row r="110" spans="1:7" x14ac:dyDescent="0.45">
      <c r="A110" s="25" t="s">
        <v>257</v>
      </c>
      <c r="B110" s="115" t="s">
        <v>340</v>
      </c>
      <c r="C110" s="18">
        <v>173</v>
      </c>
      <c r="D110" s="25" t="s">
        <v>42</v>
      </c>
      <c r="E110" s="116">
        <v>1.5</v>
      </c>
      <c r="F110" s="192">
        <f t="shared" si="1"/>
        <v>259.5</v>
      </c>
      <c r="G110" s="36"/>
    </row>
    <row r="111" spans="1:7" x14ac:dyDescent="0.45">
      <c r="A111" s="25"/>
      <c r="B111" s="27"/>
      <c r="C111" s="18"/>
      <c r="D111" s="25"/>
      <c r="E111" s="17"/>
      <c r="F111" s="192" t="str">
        <f t="shared" si="1"/>
        <v/>
      </c>
      <c r="G111" s="36"/>
    </row>
    <row r="112" spans="1:7" x14ac:dyDescent="0.45">
      <c r="A112" s="25" t="s">
        <v>258</v>
      </c>
      <c r="B112" s="27" t="s">
        <v>337</v>
      </c>
      <c r="C112" s="18">
        <f>173*0.15</f>
        <v>25.95</v>
      </c>
      <c r="D112" s="25" t="s">
        <v>136</v>
      </c>
      <c r="E112" s="17">
        <v>44</v>
      </c>
      <c r="F112" s="192">
        <f t="shared" si="1"/>
        <v>1141.8</v>
      </c>
      <c r="G112" s="36"/>
    </row>
    <row r="113" spans="1:7" x14ac:dyDescent="0.45">
      <c r="A113" s="25"/>
      <c r="B113" s="27"/>
      <c r="C113" s="18"/>
      <c r="D113" s="25"/>
      <c r="E113" s="17"/>
      <c r="F113" s="192" t="str">
        <f t="shared" si="1"/>
        <v/>
      </c>
      <c r="G113" s="36"/>
    </row>
    <row r="114" spans="1:7" x14ac:dyDescent="0.45">
      <c r="A114" s="25" t="s">
        <v>259</v>
      </c>
      <c r="B114" s="27" t="s">
        <v>338</v>
      </c>
      <c r="C114" s="18">
        <v>173</v>
      </c>
      <c r="D114" s="25" t="s">
        <v>42</v>
      </c>
      <c r="E114" s="17">
        <v>50</v>
      </c>
      <c r="F114" s="192">
        <f t="shared" si="1"/>
        <v>8650</v>
      </c>
      <c r="G114" s="36"/>
    </row>
    <row r="115" spans="1:7" x14ac:dyDescent="0.45">
      <c r="A115" s="25"/>
      <c r="B115" s="27"/>
      <c r="C115" s="18"/>
      <c r="D115" s="25"/>
      <c r="E115" s="17"/>
      <c r="F115" s="192" t="str">
        <f t="shared" si="1"/>
        <v/>
      </c>
      <c r="G115" s="36"/>
    </row>
    <row r="116" spans="1:7" x14ac:dyDescent="0.45">
      <c r="A116" s="25"/>
      <c r="B116" s="28" t="s">
        <v>339</v>
      </c>
      <c r="C116" s="18"/>
      <c r="D116" s="25"/>
      <c r="E116" s="17"/>
      <c r="F116" s="192" t="str">
        <f t="shared" si="1"/>
        <v/>
      </c>
      <c r="G116" s="36"/>
    </row>
    <row r="117" spans="1:7" x14ac:dyDescent="0.45">
      <c r="A117" s="25"/>
      <c r="B117" s="27"/>
      <c r="C117" s="18"/>
      <c r="D117" s="25"/>
      <c r="E117" s="17"/>
      <c r="F117" s="192" t="str">
        <f t="shared" si="1"/>
        <v/>
      </c>
      <c r="G117" s="36"/>
    </row>
    <row r="118" spans="1:7" x14ac:dyDescent="0.45">
      <c r="A118" s="25" t="s">
        <v>260</v>
      </c>
      <c r="B118" s="27" t="s">
        <v>342</v>
      </c>
      <c r="C118" s="18">
        <v>103</v>
      </c>
      <c r="D118" s="25" t="s">
        <v>30</v>
      </c>
      <c r="E118" s="17"/>
      <c r="F118" s="192">
        <f t="shared" si="1"/>
        <v>0</v>
      </c>
      <c r="G118" s="36"/>
    </row>
    <row r="119" spans="1:7" x14ac:dyDescent="0.45">
      <c r="A119" s="25"/>
      <c r="B119" s="27"/>
      <c r="C119" s="18"/>
      <c r="D119" s="25"/>
      <c r="E119" s="17"/>
      <c r="F119" s="192" t="str">
        <f t="shared" ref="F119:F126" si="2">IF(C119="","",(C119*E119))</f>
        <v/>
      </c>
      <c r="G119" s="36"/>
    </row>
    <row r="120" spans="1:7" x14ac:dyDescent="0.45">
      <c r="A120" s="25" t="s">
        <v>261</v>
      </c>
      <c r="B120" s="27" t="s">
        <v>343</v>
      </c>
      <c r="C120" s="18">
        <v>103</v>
      </c>
      <c r="D120" s="25" t="s">
        <v>30</v>
      </c>
      <c r="E120" s="116">
        <v>32.5</v>
      </c>
      <c r="F120" s="192">
        <f t="shared" si="2"/>
        <v>3347.5</v>
      </c>
      <c r="G120" s="36"/>
    </row>
    <row r="121" spans="1:7" x14ac:dyDescent="0.45">
      <c r="A121" s="25"/>
      <c r="B121" s="27"/>
      <c r="C121" s="18"/>
      <c r="D121" s="25"/>
      <c r="E121" s="17"/>
      <c r="F121" s="192" t="str">
        <f t="shared" si="2"/>
        <v/>
      </c>
      <c r="G121" s="36"/>
    </row>
    <row r="122" spans="1:7" x14ac:dyDescent="0.45">
      <c r="A122" s="25" t="s">
        <v>262</v>
      </c>
      <c r="B122" s="27" t="s">
        <v>344</v>
      </c>
      <c r="C122" s="18">
        <v>15</v>
      </c>
      <c r="D122" s="25" t="s">
        <v>30</v>
      </c>
      <c r="E122" s="17">
        <v>16.5</v>
      </c>
      <c r="F122" s="192">
        <f t="shared" si="2"/>
        <v>247.5</v>
      </c>
      <c r="G122" s="36"/>
    </row>
    <row r="123" spans="1:7" x14ac:dyDescent="0.45">
      <c r="A123" s="25"/>
      <c r="B123" s="27"/>
      <c r="C123" s="18"/>
      <c r="D123" s="25"/>
      <c r="E123" s="17"/>
      <c r="F123" s="192" t="str">
        <f t="shared" si="2"/>
        <v/>
      </c>
      <c r="G123" s="36"/>
    </row>
    <row r="124" spans="1:7" x14ac:dyDescent="0.45">
      <c r="A124" s="25"/>
      <c r="B124" s="27"/>
      <c r="C124" s="18"/>
      <c r="D124" s="25"/>
      <c r="E124" s="17"/>
      <c r="F124" s="192" t="str">
        <f t="shared" si="2"/>
        <v/>
      </c>
      <c r="G124" s="36"/>
    </row>
    <row r="125" spans="1:7" x14ac:dyDescent="0.45">
      <c r="A125" s="25"/>
      <c r="B125" s="27"/>
      <c r="C125" s="18"/>
      <c r="D125" s="25"/>
      <c r="E125" s="17"/>
      <c r="F125" s="192" t="str">
        <f t="shared" si="2"/>
        <v/>
      </c>
      <c r="G125" s="36"/>
    </row>
    <row r="126" spans="1:7" x14ac:dyDescent="0.45">
      <c r="A126" s="25"/>
      <c r="B126" s="27"/>
      <c r="C126" s="18"/>
      <c r="D126" s="25"/>
      <c r="E126" s="17"/>
      <c r="F126" s="192" t="str">
        <f t="shared" si="2"/>
        <v/>
      </c>
      <c r="G126" s="36"/>
    </row>
    <row r="127" spans="1:7" x14ac:dyDescent="0.35">
      <c r="A127" s="25"/>
      <c r="B127" s="27"/>
      <c r="C127" s="18"/>
      <c r="D127" s="25"/>
      <c r="E127" s="17"/>
      <c r="F127" s="30"/>
      <c r="G127" s="36"/>
    </row>
    <row r="128" spans="1:7" x14ac:dyDescent="0.35">
      <c r="A128" s="4"/>
      <c r="B128" s="6"/>
      <c r="C128" s="6"/>
      <c r="D128" s="23"/>
      <c r="E128" s="6"/>
      <c r="F128" s="31"/>
      <c r="G128" s="175"/>
    </row>
    <row r="129" spans="1:8" x14ac:dyDescent="0.35">
      <c r="A129" s="7"/>
      <c r="B129" s="9"/>
      <c r="C129" s="9" t="s">
        <v>21</v>
      </c>
      <c r="D129" s="21"/>
      <c r="E129" s="9"/>
      <c r="F129" s="33">
        <f>SUM(F52:F127)</f>
        <v>70195.582880000002</v>
      </c>
      <c r="G129" s="175"/>
    </row>
    <row r="130" spans="1:8" x14ac:dyDescent="0.35">
      <c r="A130" s="10"/>
      <c r="B130" s="12"/>
      <c r="C130" s="12"/>
      <c r="D130" s="24"/>
      <c r="E130" s="12"/>
      <c r="F130" s="34"/>
      <c r="G130" s="175"/>
    </row>
    <row r="131" spans="1:8" x14ac:dyDescent="0.35">
      <c r="A131" s="25"/>
      <c r="B131" s="27"/>
      <c r="C131" s="18"/>
      <c r="D131" s="25"/>
      <c r="E131" s="17"/>
      <c r="F131" s="30"/>
      <c r="G131" s="36"/>
    </row>
    <row r="132" spans="1:8" x14ac:dyDescent="0.35">
      <c r="A132" s="25"/>
      <c r="B132" s="22" t="s">
        <v>28</v>
      </c>
      <c r="C132" s="18"/>
      <c r="D132" s="25"/>
      <c r="E132" s="17"/>
      <c r="F132" s="30"/>
      <c r="G132" s="36"/>
    </row>
    <row r="133" spans="1:8" x14ac:dyDescent="0.35">
      <c r="A133" s="25"/>
      <c r="B133" s="20"/>
      <c r="C133" s="18"/>
      <c r="D133" s="25"/>
      <c r="E133" s="17"/>
      <c r="F133" s="30"/>
      <c r="G133" s="36"/>
    </row>
    <row r="134" spans="1:8" ht="46.15" x14ac:dyDescent="0.35">
      <c r="A134" s="25"/>
      <c r="B134" s="19" t="s">
        <v>345</v>
      </c>
      <c r="C134" s="18"/>
      <c r="D134" s="25"/>
      <c r="E134" s="17"/>
      <c r="F134" s="30"/>
      <c r="G134" s="36" t="s">
        <v>506</v>
      </c>
    </row>
    <row r="135" spans="1:8" x14ac:dyDescent="0.45">
      <c r="A135" s="25"/>
      <c r="B135" s="27"/>
      <c r="C135" s="18"/>
      <c r="D135" s="25"/>
      <c r="E135" s="17"/>
      <c r="F135" s="192" t="str">
        <f t="shared" ref="F135:F197" si="3">IF(C135="","",(C135*E135))</f>
        <v/>
      </c>
      <c r="G135" s="36"/>
    </row>
    <row r="136" spans="1:8" x14ac:dyDescent="0.45">
      <c r="A136" s="25" t="s">
        <v>510</v>
      </c>
      <c r="B136" s="2" t="s">
        <v>347</v>
      </c>
      <c r="C136" s="18">
        <f>91*0.3*0.6</f>
        <v>16.38</v>
      </c>
      <c r="D136" s="25" t="s">
        <v>136</v>
      </c>
      <c r="E136" s="17">
        <v>16.7</v>
      </c>
      <c r="F136" s="192">
        <f t="shared" si="3"/>
        <v>273.54599999999999</v>
      </c>
      <c r="G136" s="36"/>
      <c r="H136" s="100">
        <v>58</v>
      </c>
    </row>
    <row r="137" spans="1:8" x14ac:dyDescent="0.45">
      <c r="A137" s="25"/>
      <c r="B137" s="115"/>
      <c r="C137" s="89"/>
      <c r="D137" s="112"/>
      <c r="E137" s="17"/>
      <c r="F137" s="192" t="str">
        <f t="shared" si="3"/>
        <v/>
      </c>
      <c r="G137" s="36"/>
      <c r="H137" s="100">
        <v>33</v>
      </c>
    </row>
    <row r="138" spans="1:8" x14ac:dyDescent="0.45">
      <c r="A138" s="25" t="s">
        <v>264</v>
      </c>
      <c r="B138" s="100" t="s">
        <v>348</v>
      </c>
      <c r="C138" s="18">
        <f>C136</f>
        <v>16.38</v>
      </c>
      <c r="D138" s="25" t="s">
        <v>136</v>
      </c>
      <c r="E138" s="17">
        <f>68*1.2</f>
        <v>81.599999999999994</v>
      </c>
      <c r="F138" s="192">
        <f t="shared" si="3"/>
        <v>1336.6079999999997</v>
      </c>
      <c r="G138" s="36"/>
      <c r="H138" s="100">
        <f>SUM(H136:H137)</f>
        <v>91</v>
      </c>
    </row>
    <row r="139" spans="1:8" x14ac:dyDescent="0.45">
      <c r="A139" s="25"/>
      <c r="C139" s="18"/>
      <c r="D139" s="25"/>
      <c r="E139" s="17"/>
      <c r="F139" s="192" t="str">
        <f t="shared" si="3"/>
        <v/>
      </c>
      <c r="G139" s="36"/>
    </row>
    <row r="140" spans="1:8" x14ac:dyDescent="0.45">
      <c r="A140" s="25" t="s">
        <v>265</v>
      </c>
      <c r="B140" s="100" t="s">
        <v>354</v>
      </c>
      <c r="C140" s="18">
        <f>(91*0.6)*2</f>
        <v>109.2</v>
      </c>
      <c r="D140" s="25" t="s">
        <v>42</v>
      </c>
      <c r="E140" s="17">
        <v>2.2999999999999998</v>
      </c>
      <c r="F140" s="192">
        <f t="shared" si="3"/>
        <v>251.16</v>
      </c>
      <c r="G140" s="36"/>
    </row>
    <row r="141" spans="1:8" x14ac:dyDescent="0.45">
      <c r="A141" s="25"/>
      <c r="C141" s="18"/>
      <c r="D141" s="25"/>
      <c r="E141" s="17"/>
      <c r="F141" s="192" t="str">
        <f t="shared" si="3"/>
        <v/>
      </c>
      <c r="G141" s="36"/>
    </row>
    <row r="142" spans="1:8" x14ac:dyDescent="0.45">
      <c r="A142" s="25" t="s">
        <v>266</v>
      </c>
      <c r="B142" s="100" t="s">
        <v>349</v>
      </c>
      <c r="C142" s="18">
        <f>91*0.3</f>
        <v>27.3</v>
      </c>
      <c r="D142" s="25" t="s">
        <v>42</v>
      </c>
      <c r="E142" s="17">
        <v>1.25</v>
      </c>
      <c r="F142" s="192">
        <f t="shared" si="3"/>
        <v>34.125</v>
      </c>
      <c r="G142" s="36"/>
    </row>
    <row r="143" spans="1:8" x14ac:dyDescent="0.45">
      <c r="A143" s="25"/>
      <c r="C143" s="18"/>
      <c r="D143" s="25"/>
      <c r="E143" s="17"/>
      <c r="F143" s="192" t="str">
        <f t="shared" si="3"/>
        <v/>
      </c>
      <c r="G143" s="36"/>
    </row>
    <row r="144" spans="1:8" x14ac:dyDescent="0.45">
      <c r="A144" s="25" t="s">
        <v>267</v>
      </c>
      <c r="B144" s="27" t="s">
        <v>350</v>
      </c>
      <c r="C144" s="18">
        <f>91*0.3*0.3</f>
        <v>8.19</v>
      </c>
      <c r="D144" s="25" t="s">
        <v>136</v>
      </c>
      <c r="E144" s="17">
        <v>210</v>
      </c>
      <c r="F144" s="192">
        <f t="shared" si="3"/>
        <v>1719.8999999999999</v>
      </c>
      <c r="G144" s="36" t="s">
        <v>351</v>
      </c>
    </row>
    <row r="145" spans="1:7" x14ac:dyDescent="0.45">
      <c r="A145" s="25"/>
      <c r="B145" s="2"/>
      <c r="C145" s="18"/>
      <c r="D145" s="25"/>
      <c r="E145" s="17"/>
      <c r="F145" s="192" t="str">
        <f t="shared" si="3"/>
        <v/>
      </c>
      <c r="G145" s="36"/>
    </row>
    <row r="146" spans="1:7" x14ac:dyDescent="0.45">
      <c r="A146" s="25" t="s">
        <v>268</v>
      </c>
      <c r="B146" s="2" t="s">
        <v>352</v>
      </c>
      <c r="C146" s="18">
        <f>C142</f>
        <v>27.3</v>
      </c>
      <c r="D146" s="25" t="s">
        <v>42</v>
      </c>
      <c r="E146" s="17">
        <v>2.2000000000000002</v>
      </c>
      <c r="F146" s="192">
        <f t="shared" si="3"/>
        <v>60.060000000000009</v>
      </c>
      <c r="G146" s="36"/>
    </row>
    <row r="147" spans="1:7" x14ac:dyDescent="0.45">
      <c r="A147" s="25"/>
      <c r="B147" s="2"/>
      <c r="C147" s="18"/>
      <c r="D147" s="25"/>
      <c r="E147" s="17"/>
      <c r="F147" s="192" t="str">
        <f t="shared" si="3"/>
        <v/>
      </c>
      <c r="G147" s="36"/>
    </row>
    <row r="148" spans="1:7" x14ac:dyDescent="0.45">
      <c r="A148" s="25" t="s">
        <v>269</v>
      </c>
      <c r="B148" s="27" t="s">
        <v>353</v>
      </c>
      <c r="C148" s="18">
        <f>91*0.215</f>
        <v>19.565000000000001</v>
      </c>
      <c r="D148" s="25" t="s">
        <v>42</v>
      </c>
      <c r="E148" s="17">
        <v>98.5</v>
      </c>
      <c r="F148" s="192">
        <f t="shared" si="3"/>
        <v>1927.1525000000001</v>
      </c>
      <c r="G148" s="36"/>
    </row>
    <row r="149" spans="1:7" x14ac:dyDescent="0.45">
      <c r="A149" s="25"/>
      <c r="B149" s="27"/>
      <c r="C149" s="18"/>
      <c r="D149" s="25"/>
      <c r="E149" s="17"/>
      <c r="F149" s="192" t="str">
        <f t="shared" si="3"/>
        <v/>
      </c>
      <c r="G149" s="36"/>
    </row>
    <row r="150" spans="1:7" x14ac:dyDescent="0.45">
      <c r="A150" s="25" t="s">
        <v>270</v>
      </c>
      <c r="B150" s="27" t="s">
        <v>507</v>
      </c>
      <c r="C150" s="18">
        <f>91*0.45</f>
        <v>40.950000000000003</v>
      </c>
      <c r="D150" s="25" t="s">
        <v>42</v>
      </c>
      <c r="E150" s="17">
        <f>(55*1.15)+41</f>
        <v>104.25</v>
      </c>
      <c r="F150" s="192">
        <f t="shared" si="3"/>
        <v>4269.0375000000004</v>
      </c>
      <c r="G150" s="36"/>
    </row>
    <row r="151" spans="1:7" x14ac:dyDescent="0.45">
      <c r="A151" s="25"/>
      <c r="C151" s="18"/>
      <c r="D151" s="25"/>
      <c r="E151" s="17"/>
      <c r="F151" s="192" t="str">
        <f t="shared" si="3"/>
        <v/>
      </c>
      <c r="G151" s="36"/>
    </row>
    <row r="152" spans="1:7" x14ac:dyDescent="0.45">
      <c r="A152" s="25"/>
      <c r="B152" s="28" t="s">
        <v>355</v>
      </c>
      <c r="C152" s="18"/>
      <c r="D152" s="25"/>
      <c r="E152" s="17"/>
      <c r="F152" s="192" t="str">
        <f t="shared" si="3"/>
        <v/>
      </c>
      <c r="G152" s="36"/>
    </row>
    <row r="153" spans="1:7" x14ac:dyDescent="0.45">
      <c r="A153" s="25"/>
      <c r="B153" s="27"/>
      <c r="C153" s="18"/>
      <c r="D153" s="25"/>
      <c r="E153" s="17"/>
      <c r="F153" s="192" t="str">
        <f t="shared" si="3"/>
        <v/>
      </c>
      <c r="G153" s="36"/>
    </row>
    <row r="154" spans="1:7" x14ac:dyDescent="0.45">
      <c r="A154" s="25" t="s">
        <v>271</v>
      </c>
      <c r="B154" s="115" t="s">
        <v>356</v>
      </c>
      <c r="C154" s="89">
        <v>8</v>
      </c>
      <c r="D154" s="112" t="s">
        <v>137</v>
      </c>
      <c r="E154" s="17">
        <v>395</v>
      </c>
      <c r="F154" s="192">
        <f t="shared" si="3"/>
        <v>3160</v>
      </c>
      <c r="G154" s="36"/>
    </row>
    <row r="155" spans="1:7" x14ac:dyDescent="0.45">
      <c r="A155" s="25"/>
      <c r="C155" s="18"/>
      <c r="D155" s="25"/>
      <c r="E155" s="17"/>
      <c r="F155" s="192" t="str">
        <f t="shared" si="3"/>
        <v/>
      </c>
      <c r="G155" s="36"/>
    </row>
    <row r="156" spans="1:7" x14ac:dyDescent="0.45">
      <c r="A156" s="25"/>
      <c r="B156" s="329" t="s">
        <v>357</v>
      </c>
      <c r="C156" s="18"/>
      <c r="D156" s="25"/>
      <c r="E156" s="17"/>
      <c r="F156" s="192" t="str">
        <f t="shared" si="3"/>
        <v/>
      </c>
      <c r="G156" s="36"/>
    </row>
    <row r="157" spans="1:7" x14ac:dyDescent="0.45">
      <c r="A157" s="25"/>
      <c r="B157" s="27"/>
      <c r="C157" s="18"/>
      <c r="D157" s="25"/>
      <c r="E157" s="17"/>
      <c r="F157" s="192" t="str">
        <f t="shared" si="3"/>
        <v/>
      </c>
      <c r="G157" s="36"/>
    </row>
    <row r="158" spans="1:7" x14ac:dyDescent="0.45">
      <c r="A158" s="25" t="s">
        <v>272</v>
      </c>
      <c r="B158" s="27" t="s">
        <v>358</v>
      </c>
      <c r="C158" s="18">
        <v>55</v>
      </c>
      <c r="D158" s="25" t="s">
        <v>42</v>
      </c>
      <c r="E158" s="17">
        <v>21.2</v>
      </c>
      <c r="F158" s="192">
        <f t="shared" si="3"/>
        <v>1166</v>
      </c>
      <c r="G158" s="36"/>
    </row>
    <row r="159" spans="1:7" x14ac:dyDescent="0.45">
      <c r="A159" s="25"/>
      <c r="B159" s="27"/>
      <c r="C159" s="18"/>
      <c r="D159" s="25"/>
      <c r="E159" s="17"/>
      <c r="F159" s="192" t="str">
        <f t="shared" si="3"/>
        <v/>
      </c>
      <c r="G159" s="36"/>
    </row>
    <row r="160" spans="1:7" x14ac:dyDescent="0.45">
      <c r="A160" s="25" t="s">
        <v>273</v>
      </c>
      <c r="B160" s="329" t="s">
        <v>359</v>
      </c>
      <c r="C160" s="18"/>
      <c r="D160" s="25"/>
      <c r="E160" s="17"/>
      <c r="F160" s="192" t="str">
        <f t="shared" si="3"/>
        <v/>
      </c>
      <c r="G160" s="36"/>
    </row>
    <row r="161" spans="1:7" x14ac:dyDescent="0.45">
      <c r="A161" s="25"/>
      <c r="B161" s="27"/>
      <c r="C161" s="18"/>
      <c r="D161" s="25"/>
      <c r="E161" s="17"/>
      <c r="F161" s="192" t="str">
        <f t="shared" si="3"/>
        <v/>
      </c>
      <c r="G161" s="36"/>
    </row>
    <row r="162" spans="1:7" ht="30.75" x14ac:dyDescent="0.45">
      <c r="A162" s="25" t="s">
        <v>274</v>
      </c>
      <c r="B162" s="27" t="s">
        <v>360</v>
      </c>
      <c r="C162" s="18">
        <v>262</v>
      </c>
      <c r="D162" s="25" t="s">
        <v>42</v>
      </c>
      <c r="E162" s="17">
        <v>5.3</v>
      </c>
      <c r="F162" s="192">
        <f t="shared" si="3"/>
        <v>1388.6</v>
      </c>
      <c r="G162" s="36" t="s">
        <v>389</v>
      </c>
    </row>
    <row r="163" spans="1:7" x14ac:dyDescent="0.45">
      <c r="A163" s="25"/>
      <c r="B163" s="27"/>
      <c r="C163" s="18"/>
      <c r="D163" s="25"/>
      <c r="E163" s="17"/>
      <c r="F163" s="192" t="str">
        <f t="shared" si="3"/>
        <v/>
      </c>
      <c r="G163" s="36"/>
    </row>
    <row r="164" spans="1:7" x14ac:dyDescent="0.45">
      <c r="A164" s="25" t="s">
        <v>275</v>
      </c>
      <c r="B164" s="27" t="s">
        <v>361</v>
      </c>
      <c r="C164" s="18">
        <v>8</v>
      </c>
      <c r="D164" s="25" t="s">
        <v>137</v>
      </c>
      <c r="E164" s="17">
        <v>175</v>
      </c>
      <c r="F164" s="192">
        <f t="shared" si="3"/>
        <v>1400</v>
      </c>
      <c r="G164" s="36"/>
    </row>
    <row r="165" spans="1:7" x14ac:dyDescent="0.45">
      <c r="A165" s="25"/>
      <c r="B165" s="27"/>
      <c r="C165" s="18"/>
      <c r="D165" s="25"/>
      <c r="E165" s="17"/>
      <c r="F165" s="192" t="str">
        <f t="shared" si="3"/>
        <v/>
      </c>
      <c r="G165" s="36"/>
    </row>
    <row r="166" spans="1:7" x14ac:dyDescent="0.45">
      <c r="A166" s="25"/>
      <c r="B166" s="28" t="s">
        <v>369</v>
      </c>
      <c r="C166" s="18"/>
      <c r="D166" s="25"/>
      <c r="E166" s="17"/>
      <c r="F166" s="192" t="str">
        <f t="shared" si="3"/>
        <v/>
      </c>
      <c r="G166" s="36"/>
    </row>
    <row r="167" spans="1:7" x14ac:dyDescent="0.45">
      <c r="A167" s="25"/>
      <c r="B167" s="27"/>
      <c r="C167" s="18"/>
      <c r="D167" s="25"/>
      <c r="E167" s="17"/>
      <c r="F167" s="192" t="str">
        <f t="shared" si="3"/>
        <v/>
      </c>
      <c r="G167" s="36"/>
    </row>
    <row r="168" spans="1:7" x14ac:dyDescent="0.45">
      <c r="A168" s="25"/>
      <c r="B168" s="27" t="s">
        <v>362</v>
      </c>
      <c r="C168" s="18"/>
      <c r="D168" s="25"/>
      <c r="E168" s="17"/>
      <c r="F168" s="192" t="str">
        <f t="shared" si="3"/>
        <v/>
      </c>
      <c r="G168" s="36"/>
    </row>
    <row r="169" spans="1:7" x14ac:dyDescent="0.45">
      <c r="A169" s="25" t="s">
        <v>276</v>
      </c>
      <c r="B169" s="27" t="s">
        <v>363</v>
      </c>
      <c r="C169" s="18">
        <v>185</v>
      </c>
      <c r="D169" s="25" t="s">
        <v>30</v>
      </c>
      <c r="E169" s="17">
        <v>16.75</v>
      </c>
      <c r="F169" s="192">
        <f t="shared" si="3"/>
        <v>3098.75</v>
      </c>
      <c r="G169" s="36"/>
    </row>
    <row r="170" spans="1:7" x14ac:dyDescent="0.45">
      <c r="A170" s="25"/>
      <c r="B170" s="27"/>
      <c r="C170" s="18"/>
      <c r="D170" s="25"/>
      <c r="E170" s="17"/>
      <c r="F170" s="192" t="str">
        <f t="shared" si="3"/>
        <v/>
      </c>
      <c r="G170" s="36"/>
    </row>
    <row r="171" spans="1:7" x14ac:dyDescent="0.45">
      <c r="A171" s="25" t="s">
        <v>277</v>
      </c>
      <c r="B171" s="27" t="s">
        <v>364</v>
      </c>
      <c r="C171" s="18">
        <v>87.412500000000023</v>
      </c>
      <c r="D171" s="25" t="s">
        <v>136</v>
      </c>
      <c r="E171" s="17">
        <v>69</v>
      </c>
      <c r="F171" s="192">
        <f t="shared" si="3"/>
        <v>6031.4625000000015</v>
      </c>
      <c r="G171" s="36"/>
    </row>
    <row r="172" spans="1:7" x14ac:dyDescent="0.45">
      <c r="A172" s="25"/>
      <c r="B172" s="27"/>
      <c r="C172" s="18"/>
      <c r="D172" s="25"/>
      <c r="E172" s="17"/>
      <c r="F172" s="192" t="str">
        <f t="shared" si="3"/>
        <v/>
      </c>
      <c r="G172" s="36"/>
    </row>
    <row r="173" spans="1:7" x14ac:dyDescent="0.45">
      <c r="A173" s="25"/>
      <c r="B173" s="27" t="s">
        <v>365</v>
      </c>
      <c r="C173" s="18"/>
      <c r="D173" s="25"/>
      <c r="E173" s="17"/>
      <c r="F173" s="192" t="str">
        <f t="shared" si="3"/>
        <v/>
      </c>
      <c r="G173" s="36"/>
    </row>
    <row r="174" spans="1:7" x14ac:dyDescent="0.45">
      <c r="A174" s="25" t="s">
        <v>278</v>
      </c>
      <c r="B174" s="27" t="s">
        <v>366</v>
      </c>
      <c r="C174" s="18">
        <v>185</v>
      </c>
      <c r="D174" s="25" t="s">
        <v>30</v>
      </c>
      <c r="E174" s="17">
        <v>16.7</v>
      </c>
      <c r="F174" s="192">
        <f t="shared" si="3"/>
        <v>3089.5</v>
      </c>
      <c r="G174" s="36"/>
    </row>
    <row r="175" spans="1:7" x14ac:dyDescent="0.45">
      <c r="A175" s="25"/>
      <c r="B175" s="28"/>
      <c r="C175" s="18"/>
      <c r="D175" s="25"/>
      <c r="E175" s="17"/>
      <c r="F175" s="192" t="str">
        <f t="shared" si="3"/>
        <v/>
      </c>
      <c r="G175" s="36"/>
    </row>
    <row r="176" spans="1:7" x14ac:dyDescent="0.45">
      <c r="A176" s="25"/>
      <c r="B176" s="27" t="s">
        <v>367</v>
      </c>
      <c r="C176" s="18"/>
      <c r="D176" s="25"/>
      <c r="E176" s="17"/>
      <c r="F176" s="192" t="str">
        <f t="shared" si="3"/>
        <v/>
      </c>
      <c r="G176" s="36"/>
    </row>
    <row r="177" spans="1:7" x14ac:dyDescent="0.45">
      <c r="A177" s="25" t="s">
        <v>279</v>
      </c>
      <c r="B177" s="27" t="s">
        <v>366</v>
      </c>
      <c r="C177" s="18">
        <v>185</v>
      </c>
      <c r="D177" s="25" t="s">
        <v>30</v>
      </c>
      <c r="E177" s="17">
        <v>25</v>
      </c>
      <c r="F177" s="192">
        <f t="shared" si="3"/>
        <v>4625</v>
      </c>
      <c r="G177" s="36"/>
    </row>
    <row r="178" spans="1:7" x14ac:dyDescent="0.45">
      <c r="A178" s="25"/>
      <c r="B178" s="115"/>
      <c r="C178" s="18"/>
      <c r="D178" s="25"/>
      <c r="E178" s="17"/>
      <c r="F178" s="192" t="str">
        <f t="shared" si="3"/>
        <v/>
      </c>
      <c r="G178" s="36"/>
    </row>
    <row r="179" spans="1:7" x14ac:dyDescent="0.45">
      <c r="A179" s="25" t="s">
        <v>280</v>
      </c>
      <c r="B179" s="27" t="s">
        <v>370</v>
      </c>
      <c r="C179" s="18">
        <v>5</v>
      </c>
      <c r="D179" s="25" t="s">
        <v>30</v>
      </c>
      <c r="E179" s="17">
        <v>70</v>
      </c>
      <c r="F179" s="192">
        <f t="shared" si="3"/>
        <v>350</v>
      </c>
      <c r="G179" s="36"/>
    </row>
    <row r="180" spans="1:7" x14ac:dyDescent="0.45">
      <c r="A180" s="25"/>
      <c r="B180" s="27"/>
      <c r="C180" s="18"/>
      <c r="D180" s="25"/>
      <c r="E180" s="17"/>
      <c r="F180" s="192" t="str">
        <f t="shared" si="3"/>
        <v/>
      </c>
      <c r="G180" s="36"/>
    </row>
    <row r="181" spans="1:7" x14ac:dyDescent="0.45">
      <c r="A181" s="25" t="s">
        <v>281</v>
      </c>
      <c r="B181" s="27" t="s">
        <v>371</v>
      </c>
      <c r="C181" s="18">
        <v>5</v>
      </c>
      <c r="D181" s="25" t="s">
        <v>137</v>
      </c>
      <c r="E181" s="17">
        <v>140</v>
      </c>
      <c r="F181" s="192">
        <f t="shared" si="3"/>
        <v>700</v>
      </c>
      <c r="G181" s="36"/>
    </row>
    <row r="182" spans="1:7" x14ac:dyDescent="0.45">
      <c r="A182" s="25"/>
      <c r="B182" s="27"/>
      <c r="C182" s="18"/>
      <c r="D182" s="25"/>
      <c r="E182" s="17"/>
      <c r="F182" s="192" t="str">
        <f t="shared" si="3"/>
        <v/>
      </c>
      <c r="G182" s="36"/>
    </row>
    <row r="183" spans="1:7" x14ac:dyDescent="0.45">
      <c r="A183" s="25"/>
      <c r="B183" s="27" t="s">
        <v>372</v>
      </c>
      <c r="C183" s="18"/>
      <c r="D183" s="25"/>
      <c r="E183" s="17"/>
      <c r="F183" s="192" t="str">
        <f t="shared" si="3"/>
        <v/>
      </c>
      <c r="G183" s="36"/>
    </row>
    <row r="184" spans="1:7" x14ac:dyDescent="0.45">
      <c r="A184" s="25" t="s">
        <v>282</v>
      </c>
      <c r="B184" s="27" t="s">
        <v>363</v>
      </c>
      <c r="C184" s="18">
        <v>9</v>
      </c>
      <c r="D184" s="25" t="s">
        <v>137</v>
      </c>
      <c r="E184" s="17">
        <v>1600</v>
      </c>
      <c r="F184" s="192">
        <f t="shared" si="3"/>
        <v>14400</v>
      </c>
      <c r="G184" s="36"/>
    </row>
    <row r="185" spans="1:7" x14ac:dyDescent="0.45">
      <c r="A185" s="25"/>
      <c r="B185" s="27"/>
      <c r="C185" s="18"/>
      <c r="D185" s="25"/>
      <c r="E185" s="17"/>
      <c r="F185" s="192" t="str">
        <f t="shared" si="3"/>
        <v/>
      </c>
      <c r="G185" s="36"/>
    </row>
    <row r="186" spans="1:7" x14ac:dyDescent="0.45">
      <c r="A186" s="25" t="s">
        <v>283</v>
      </c>
      <c r="B186" s="27" t="s">
        <v>368</v>
      </c>
      <c r="C186" s="18">
        <v>1</v>
      </c>
      <c r="D186" s="25" t="s">
        <v>137</v>
      </c>
      <c r="E186" s="17">
        <v>150</v>
      </c>
      <c r="F186" s="192">
        <f t="shared" si="3"/>
        <v>150</v>
      </c>
      <c r="G186" s="36"/>
    </row>
    <row r="187" spans="1:7" x14ac:dyDescent="0.45">
      <c r="A187" s="25"/>
      <c r="B187" s="27"/>
      <c r="C187" s="18"/>
      <c r="D187" s="25"/>
      <c r="E187" s="17"/>
      <c r="F187" s="192" t="str">
        <f t="shared" si="3"/>
        <v/>
      </c>
      <c r="G187" s="36"/>
    </row>
    <row r="188" spans="1:7" x14ac:dyDescent="0.45">
      <c r="A188" s="25" t="s">
        <v>284</v>
      </c>
      <c r="B188" s="27" t="s">
        <v>373</v>
      </c>
      <c r="C188" s="18">
        <v>3</v>
      </c>
      <c r="D188" s="25" t="s">
        <v>137</v>
      </c>
      <c r="E188" s="17">
        <v>297</v>
      </c>
      <c r="F188" s="192">
        <f t="shared" si="3"/>
        <v>891</v>
      </c>
      <c r="G188" s="36"/>
    </row>
    <row r="189" spans="1:7" x14ac:dyDescent="0.45">
      <c r="A189" s="25"/>
      <c r="B189" s="27"/>
      <c r="C189" s="18"/>
      <c r="D189" s="25"/>
      <c r="E189" s="17"/>
      <c r="F189" s="192" t="str">
        <f t="shared" si="3"/>
        <v/>
      </c>
      <c r="G189" s="36"/>
    </row>
    <row r="190" spans="1:7" x14ac:dyDescent="0.45">
      <c r="A190" s="25" t="s">
        <v>285</v>
      </c>
      <c r="B190" s="27" t="s">
        <v>374</v>
      </c>
      <c r="C190" s="18">
        <v>12</v>
      </c>
      <c r="D190" s="25" t="s">
        <v>137</v>
      </c>
      <c r="E190" s="17">
        <v>54.5</v>
      </c>
      <c r="F190" s="192">
        <f t="shared" si="3"/>
        <v>654</v>
      </c>
      <c r="G190" s="36"/>
    </row>
    <row r="191" spans="1:7" x14ac:dyDescent="0.45">
      <c r="A191" s="25" t="s">
        <v>286</v>
      </c>
      <c r="B191" s="27" t="s">
        <v>375</v>
      </c>
      <c r="C191" s="18">
        <v>12</v>
      </c>
      <c r="D191" s="25" t="s">
        <v>137</v>
      </c>
      <c r="E191" s="17">
        <v>34.5</v>
      </c>
      <c r="F191" s="192">
        <f t="shared" si="3"/>
        <v>414</v>
      </c>
      <c r="G191" s="36"/>
    </row>
    <row r="192" spans="1:7" x14ac:dyDescent="0.45">
      <c r="A192" s="25"/>
      <c r="B192" s="27"/>
      <c r="C192" s="18"/>
      <c r="D192" s="25"/>
      <c r="E192" s="17"/>
      <c r="F192" s="192" t="str">
        <f t="shared" si="3"/>
        <v/>
      </c>
      <c r="G192" s="36"/>
    </row>
    <row r="193" spans="1:7" x14ac:dyDescent="0.45">
      <c r="A193" s="25" t="s">
        <v>287</v>
      </c>
      <c r="B193" s="27" t="s">
        <v>376</v>
      </c>
      <c r="C193" s="18">
        <v>1</v>
      </c>
      <c r="D193" s="25" t="s">
        <v>137</v>
      </c>
      <c r="E193" s="17">
        <v>134.25</v>
      </c>
      <c r="F193" s="192">
        <f t="shared" si="3"/>
        <v>134.25</v>
      </c>
      <c r="G193" s="36"/>
    </row>
    <row r="194" spans="1:7" x14ac:dyDescent="0.45">
      <c r="A194" s="25"/>
      <c r="B194" s="27"/>
      <c r="C194" s="18"/>
      <c r="D194" s="25"/>
      <c r="E194" s="17"/>
      <c r="F194" s="192" t="str">
        <f t="shared" si="3"/>
        <v/>
      </c>
      <c r="G194" s="36"/>
    </row>
    <row r="195" spans="1:7" x14ac:dyDescent="0.45">
      <c r="A195" s="25" t="s">
        <v>289</v>
      </c>
      <c r="B195" s="27" t="s">
        <v>378</v>
      </c>
      <c r="C195" s="18">
        <v>4</v>
      </c>
      <c r="D195" s="25" t="s">
        <v>137</v>
      </c>
      <c r="E195" s="17">
        <v>37</v>
      </c>
      <c r="F195" s="192">
        <f t="shared" si="3"/>
        <v>148</v>
      </c>
      <c r="G195" s="36"/>
    </row>
    <row r="196" spans="1:7" x14ac:dyDescent="0.45">
      <c r="A196" s="25"/>
      <c r="B196" s="27"/>
      <c r="C196" s="18"/>
      <c r="D196" s="25"/>
      <c r="E196" s="17"/>
      <c r="F196" s="192" t="str">
        <f t="shared" si="3"/>
        <v/>
      </c>
      <c r="G196" s="36"/>
    </row>
    <row r="197" spans="1:7" x14ac:dyDescent="0.45">
      <c r="A197" s="25" t="s">
        <v>290</v>
      </c>
      <c r="B197" s="27" t="s">
        <v>377</v>
      </c>
      <c r="C197" s="18">
        <v>8</v>
      </c>
      <c r="D197" s="25" t="s">
        <v>137</v>
      </c>
      <c r="E197" s="17">
        <v>170</v>
      </c>
      <c r="F197" s="192">
        <f t="shared" si="3"/>
        <v>1360</v>
      </c>
      <c r="G197" s="36"/>
    </row>
    <row r="198" spans="1:7" x14ac:dyDescent="0.45">
      <c r="A198" s="354"/>
      <c r="B198" s="127"/>
      <c r="C198" s="355"/>
      <c r="D198" s="356"/>
      <c r="E198" s="129"/>
      <c r="F198" s="192"/>
      <c r="G198" s="36"/>
    </row>
    <row r="199" spans="1:7" x14ac:dyDescent="0.35">
      <c r="A199" s="4"/>
      <c r="B199" s="6"/>
      <c r="C199" s="6"/>
      <c r="D199" s="23"/>
      <c r="E199" s="6"/>
      <c r="F199" s="31"/>
      <c r="G199" s="175"/>
    </row>
    <row r="200" spans="1:7" x14ac:dyDescent="0.35">
      <c r="A200" s="7"/>
      <c r="B200" s="9"/>
      <c r="C200" s="9" t="s">
        <v>21</v>
      </c>
      <c r="D200" s="21"/>
      <c r="E200" s="9"/>
      <c r="F200" s="33">
        <f>SUM(F132:F197)</f>
        <v>53032.1515</v>
      </c>
      <c r="G200" s="175"/>
    </row>
    <row r="201" spans="1:7" x14ac:dyDescent="0.35">
      <c r="A201" s="10"/>
      <c r="B201" s="12"/>
      <c r="C201" s="12"/>
      <c r="D201" s="24"/>
      <c r="E201" s="12"/>
      <c r="F201" s="34"/>
      <c r="G201" s="175"/>
    </row>
    <row r="202" spans="1:7" x14ac:dyDescent="0.35">
      <c r="A202" s="25"/>
      <c r="B202" s="27"/>
      <c r="C202" s="18"/>
      <c r="D202" s="25"/>
      <c r="E202" s="17"/>
      <c r="F202" s="30"/>
      <c r="G202" s="36"/>
    </row>
    <row r="203" spans="1:7" x14ac:dyDescent="0.35">
      <c r="A203" s="25"/>
      <c r="B203" s="22" t="s">
        <v>28</v>
      </c>
      <c r="C203" s="18"/>
      <c r="D203" s="25"/>
      <c r="E203" s="17"/>
      <c r="F203" s="30"/>
      <c r="G203" s="36"/>
    </row>
    <row r="204" spans="1:7" x14ac:dyDescent="0.35">
      <c r="A204" s="25"/>
      <c r="B204" s="20"/>
      <c r="C204" s="18"/>
      <c r="D204" s="25"/>
      <c r="E204" s="17"/>
      <c r="F204" s="30"/>
      <c r="G204" s="36"/>
    </row>
    <row r="205" spans="1:7" ht="46.15" x14ac:dyDescent="0.35">
      <c r="A205" s="25"/>
      <c r="B205" s="19" t="s">
        <v>379</v>
      </c>
      <c r="C205" s="18"/>
      <c r="D205" s="25"/>
      <c r="E205" s="17"/>
      <c r="F205" s="30"/>
      <c r="G205" s="36" t="s">
        <v>380</v>
      </c>
    </row>
    <row r="206" spans="1:7" x14ac:dyDescent="0.35">
      <c r="A206" s="25"/>
      <c r="B206" s="27" t="s">
        <v>381</v>
      </c>
      <c r="C206" s="18"/>
      <c r="D206" s="25"/>
      <c r="E206" s="17"/>
      <c r="F206" s="30"/>
      <c r="G206" s="36"/>
    </row>
    <row r="207" spans="1:7" x14ac:dyDescent="0.45">
      <c r="A207" s="25" t="s">
        <v>291</v>
      </c>
      <c r="B207" s="2" t="s">
        <v>363</v>
      </c>
      <c r="C207" s="18">
        <v>126</v>
      </c>
      <c r="D207" s="25" t="s">
        <v>30</v>
      </c>
      <c r="E207" s="17">
        <v>10.5</v>
      </c>
      <c r="F207" s="192">
        <f t="shared" ref="F207:F242" si="4">IF(C207="","",(C207*E207))</f>
        <v>1323</v>
      </c>
      <c r="G207" s="36"/>
    </row>
    <row r="208" spans="1:7" x14ac:dyDescent="0.45">
      <c r="A208" s="25"/>
      <c r="B208" s="115"/>
      <c r="C208" s="89"/>
      <c r="D208" s="112"/>
      <c r="E208" s="17"/>
      <c r="F208" s="192" t="str">
        <f t="shared" si="4"/>
        <v/>
      </c>
      <c r="G208" s="36"/>
    </row>
    <row r="209" spans="1:7" x14ac:dyDescent="0.45">
      <c r="A209" s="25"/>
      <c r="B209" s="100" t="s">
        <v>362</v>
      </c>
      <c r="C209" s="18"/>
      <c r="D209" s="25"/>
      <c r="E209" s="17"/>
      <c r="F209" s="192" t="str">
        <f t="shared" si="4"/>
        <v/>
      </c>
      <c r="G209" s="36"/>
    </row>
    <row r="210" spans="1:7" x14ac:dyDescent="0.45">
      <c r="A210" s="25" t="s">
        <v>292</v>
      </c>
      <c r="B210" s="100" t="s">
        <v>363</v>
      </c>
      <c r="C210" s="18">
        <v>23</v>
      </c>
      <c r="D210" s="25" t="s">
        <v>30</v>
      </c>
      <c r="E210" s="17">
        <v>16.75</v>
      </c>
      <c r="F210" s="192">
        <f t="shared" si="4"/>
        <v>385.25</v>
      </c>
      <c r="G210" s="36"/>
    </row>
    <row r="211" spans="1:7" x14ac:dyDescent="0.45">
      <c r="A211" s="25"/>
      <c r="C211" s="18"/>
      <c r="D211" s="25"/>
      <c r="E211" s="17"/>
      <c r="F211" s="192" t="str">
        <f t="shared" si="4"/>
        <v/>
      </c>
      <c r="G211" s="36"/>
    </row>
    <row r="212" spans="1:7" x14ac:dyDescent="0.45">
      <c r="A212" s="25"/>
      <c r="B212" s="27" t="s">
        <v>365</v>
      </c>
      <c r="C212" s="18"/>
      <c r="D212" s="25"/>
      <c r="E212" s="17"/>
      <c r="F212" s="192" t="str">
        <f t="shared" si="4"/>
        <v/>
      </c>
      <c r="G212" s="36"/>
    </row>
    <row r="213" spans="1:7" x14ac:dyDescent="0.45">
      <c r="A213" s="25" t="s">
        <v>293</v>
      </c>
      <c r="B213" s="27" t="s">
        <v>382</v>
      </c>
      <c r="C213" s="18">
        <v>126</v>
      </c>
      <c r="D213" s="25" t="s">
        <v>30</v>
      </c>
      <c r="E213" s="17">
        <v>14</v>
      </c>
      <c r="F213" s="192">
        <f t="shared" si="4"/>
        <v>1764</v>
      </c>
      <c r="G213" s="36"/>
    </row>
    <row r="214" spans="1:7" x14ac:dyDescent="0.45">
      <c r="A214" s="25" t="s">
        <v>294</v>
      </c>
      <c r="B214" s="27" t="s">
        <v>366</v>
      </c>
      <c r="C214" s="18">
        <v>23</v>
      </c>
      <c r="D214" s="25" t="s">
        <v>30</v>
      </c>
      <c r="E214" s="17">
        <v>16.7</v>
      </c>
      <c r="F214" s="192">
        <f t="shared" si="4"/>
        <v>384.09999999999997</v>
      </c>
      <c r="G214" s="36"/>
    </row>
    <row r="215" spans="1:7" x14ac:dyDescent="0.45">
      <c r="A215" s="25"/>
      <c r="B215" s="27"/>
      <c r="C215" s="18"/>
      <c r="D215" s="25"/>
      <c r="E215" s="17"/>
      <c r="F215" s="192" t="str">
        <f t="shared" si="4"/>
        <v/>
      </c>
      <c r="G215" s="36"/>
    </row>
    <row r="216" spans="1:7" x14ac:dyDescent="0.45">
      <c r="A216" s="25" t="s">
        <v>295</v>
      </c>
      <c r="B216" s="2" t="s">
        <v>383</v>
      </c>
      <c r="C216" s="18">
        <v>126</v>
      </c>
      <c r="D216" s="25" t="s">
        <v>30</v>
      </c>
      <c r="E216" s="17">
        <v>18</v>
      </c>
      <c r="F216" s="192">
        <f t="shared" si="4"/>
        <v>2268</v>
      </c>
      <c r="G216" s="36"/>
    </row>
    <row r="217" spans="1:7" x14ac:dyDescent="0.45">
      <c r="A217" s="25" t="s">
        <v>296</v>
      </c>
      <c r="B217" s="2" t="s">
        <v>384</v>
      </c>
      <c r="C217" s="18">
        <v>23</v>
      </c>
      <c r="D217" s="25" t="s">
        <v>30</v>
      </c>
      <c r="E217" s="17">
        <v>25</v>
      </c>
      <c r="F217" s="192">
        <f t="shared" si="4"/>
        <v>575</v>
      </c>
      <c r="G217" s="36"/>
    </row>
    <row r="218" spans="1:7" x14ac:dyDescent="0.45">
      <c r="A218" s="25"/>
      <c r="B218" s="2"/>
      <c r="C218" s="18"/>
      <c r="D218" s="25"/>
      <c r="E218" s="17"/>
      <c r="F218" s="192" t="str">
        <f t="shared" si="4"/>
        <v/>
      </c>
      <c r="G218" s="36"/>
    </row>
    <row r="219" spans="1:7" x14ac:dyDescent="0.45">
      <c r="A219" s="25" t="s">
        <v>297</v>
      </c>
      <c r="B219" s="27" t="s">
        <v>385</v>
      </c>
      <c r="C219" s="18">
        <v>9</v>
      </c>
      <c r="D219" s="25" t="s">
        <v>137</v>
      </c>
      <c r="E219" s="17">
        <v>297</v>
      </c>
      <c r="F219" s="192">
        <f t="shared" si="4"/>
        <v>2673</v>
      </c>
      <c r="G219" s="36"/>
    </row>
    <row r="220" spans="1:7" x14ac:dyDescent="0.45">
      <c r="A220" s="25"/>
      <c r="B220" s="27"/>
      <c r="C220" s="18"/>
      <c r="D220" s="25"/>
      <c r="E220" s="17"/>
      <c r="F220" s="192" t="str">
        <f t="shared" si="4"/>
        <v/>
      </c>
      <c r="G220" s="36"/>
    </row>
    <row r="221" spans="1:7" x14ac:dyDescent="0.45">
      <c r="A221" s="25" t="s">
        <v>298</v>
      </c>
      <c r="B221" s="27" t="s">
        <v>386</v>
      </c>
      <c r="C221" s="18">
        <v>14</v>
      </c>
      <c r="D221" s="25" t="s">
        <v>137</v>
      </c>
      <c r="E221" s="17">
        <v>54.5</v>
      </c>
      <c r="F221" s="192">
        <f t="shared" si="4"/>
        <v>763</v>
      </c>
      <c r="G221" s="36"/>
    </row>
    <row r="222" spans="1:7" x14ac:dyDescent="0.45">
      <c r="A222" s="25" t="s">
        <v>299</v>
      </c>
      <c r="B222" s="100" t="s">
        <v>375</v>
      </c>
      <c r="C222" s="18">
        <v>14</v>
      </c>
      <c r="D222" s="25" t="s">
        <v>137</v>
      </c>
      <c r="E222" s="17">
        <v>34.5</v>
      </c>
      <c r="F222" s="192">
        <f t="shared" si="4"/>
        <v>483</v>
      </c>
      <c r="G222" s="36"/>
    </row>
    <row r="223" spans="1:7" x14ac:dyDescent="0.45">
      <c r="A223" s="25"/>
      <c r="B223" s="28"/>
      <c r="C223" s="18"/>
      <c r="D223" s="25"/>
      <c r="E223" s="17"/>
      <c r="F223" s="192" t="str">
        <f t="shared" si="4"/>
        <v/>
      </c>
      <c r="G223" s="36"/>
    </row>
    <row r="224" spans="1:7" x14ac:dyDescent="0.45">
      <c r="A224" s="25" t="s">
        <v>300</v>
      </c>
      <c r="B224" s="27" t="s">
        <v>388</v>
      </c>
      <c r="C224" s="18">
        <v>1</v>
      </c>
      <c r="D224" s="25" t="s">
        <v>137</v>
      </c>
      <c r="E224" s="17">
        <v>99.5</v>
      </c>
      <c r="F224" s="192">
        <f t="shared" si="4"/>
        <v>99.5</v>
      </c>
      <c r="G224" s="36"/>
    </row>
    <row r="225" spans="1:7" x14ac:dyDescent="0.45">
      <c r="A225" s="25" t="s">
        <v>511</v>
      </c>
      <c r="B225" s="115" t="s">
        <v>387</v>
      </c>
      <c r="C225" s="89">
        <v>1</v>
      </c>
      <c r="D225" s="112" t="s">
        <v>137</v>
      </c>
      <c r="E225" s="17">
        <v>38</v>
      </c>
      <c r="F225" s="192">
        <f t="shared" si="4"/>
        <v>38</v>
      </c>
      <c r="G225" s="36"/>
    </row>
    <row r="226" spans="1:7" x14ac:dyDescent="0.45">
      <c r="A226" s="25"/>
      <c r="C226" s="18"/>
      <c r="D226" s="25"/>
      <c r="E226" s="17"/>
      <c r="F226" s="192" t="str">
        <f t="shared" si="4"/>
        <v/>
      </c>
      <c r="G226" s="36"/>
    </row>
    <row r="227" spans="1:7" x14ac:dyDescent="0.45">
      <c r="A227" s="25"/>
      <c r="B227" s="329" t="s">
        <v>390</v>
      </c>
      <c r="C227" s="18"/>
      <c r="D227" s="25"/>
      <c r="E227" s="17"/>
      <c r="F227" s="192" t="str">
        <f t="shared" si="4"/>
        <v/>
      </c>
      <c r="G227" s="36"/>
    </row>
    <row r="228" spans="1:7" x14ac:dyDescent="0.45">
      <c r="A228" s="25"/>
      <c r="B228" s="27"/>
      <c r="C228" s="18"/>
      <c r="D228" s="25"/>
      <c r="E228" s="17"/>
      <c r="F228" s="192" t="str">
        <f t="shared" si="4"/>
        <v/>
      </c>
      <c r="G228" s="36"/>
    </row>
    <row r="229" spans="1:7" ht="46.15" x14ac:dyDescent="0.45">
      <c r="A229" s="25" t="s">
        <v>512</v>
      </c>
      <c r="B229" s="27" t="s">
        <v>391</v>
      </c>
      <c r="C229" s="18"/>
      <c r="D229" s="25"/>
      <c r="E229" s="17"/>
      <c r="F229" s="192" t="str">
        <f t="shared" si="4"/>
        <v/>
      </c>
      <c r="G229" s="36" t="s">
        <v>392</v>
      </c>
    </row>
    <row r="230" spans="1:7" x14ac:dyDescent="0.45">
      <c r="A230" s="25"/>
      <c r="B230" s="27"/>
      <c r="C230" s="18"/>
      <c r="D230" s="25"/>
      <c r="E230" s="17"/>
      <c r="F230" s="192" t="str">
        <f t="shared" si="4"/>
        <v/>
      </c>
      <c r="G230" s="36"/>
    </row>
    <row r="231" spans="1:7" x14ac:dyDescent="0.45">
      <c r="A231" s="25" t="s">
        <v>513</v>
      </c>
      <c r="B231" s="100" t="s">
        <v>393</v>
      </c>
      <c r="C231" s="18">
        <v>80</v>
      </c>
      <c r="D231" s="25" t="s">
        <v>30</v>
      </c>
      <c r="E231" s="17">
        <v>14.6</v>
      </c>
      <c r="F231" s="192">
        <f t="shared" si="4"/>
        <v>1168</v>
      </c>
      <c r="G231" s="36"/>
    </row>
    <row r="232" spans="1:7" x14ac:dyDescent="0.45">
      <c r="A232" s="25"/>
      <c r="B232" s="27"/>
      <c r="C232" s="18"/>
      <c r="D232" s="25"/>
      <c r="E232" s="17"/>
      <c r="F232" s="192" t="str">
        <f t="shared" si="4"/>
        <v/>
      </c>
      <c r="G232" s="36"/>
    </row>
    <row r="233" spans="1:7" x14ac:dyDescent="0.45">
      <c r="A233" s="25" t="s">
        <v>514</v>
      </c>
      <c r="B233" s="27" t="s">
        <v>394</v>
      </c>
      <c r="C233" s="18">
        <v>80</v>
      </c>
      <c r="D233" s="25" t="s">
        <v>30</v>
      </c>
      <c r="E233" s="17">
        <v>14.6</v>
      </c>
      <c r="F233" s="192">
        <f t="shared" si="4"/>
        <v>1168</v>
      </c>
      <c r="G233" s="36"/>
    </row>
    <row r="234" spans="1:7" x14ac:dyDescent="0.45">
      <c r="A234" s="25"/>
      <c r="B234" s="27"/>
      <c r="C234" s="18"/>
      <c r="D234" s="25"/>
      <c r="E234" s="17"/>
      <c r="F234" s="192" t="str">
        <f t="shared" si="4"/>
        <v/>
      </c>
      <c r="G234" s="36"/>
    </row>
    <row r="235" spans="1:7" x14ac:dyDescent="0.45">
      <c r="A235" s="25" t="s">
        <v>515</v>
      </c>
      <c r="B235" s="27" t="s">
        <v>396</v>
      </c>
      <c r="C235" s="18">
        <v>110</v>
      </c>
      <c r="D235" s="25" t="s">
        <v>30</v>
      </c>
      <c r="E235" s="17">
        <v>14.6</v>
      </c>
      <c r="F235" s="192">
        <f t="shared" si="4"/>
        <v>1606</v>
      </c>
      <c r="G235" s="36"/>
    </row>
    <row r="236" spans="1:7" x14ac:dyDescent="0.45">
      <c r="A236" s="25" t="s">
        <v>516</v>
      </c>
      <c r="B236" s="27" t="s">
        <v>395</v>
      </c>
      <c r="C236" s="18">
        <v>2</v>
      </c>
      <c r="D236" s="25" t="s">
        <v>137</v>
      </c>
      <c r="E236" s="17">
        <v>575</v>
      </c>
      <c r="F236" s="192">
        <f t="shared" si="4"/>
        <v>1150</v>
      </c>
      <c r="G236" s="36"/>
    </row>
    <row r="237" spans="1:7" x14ac:dyDescent="0.45">
      <c r="A237" s="25"/>
      <c r="B237" s="28"/>
      <c r="C237" s="18"/>
      <c r="D237" s="25"/>
      <c r="E237" s="17"/>
      <c r="F237" s="192" t="str">
        <f t="shared" si="4"/>
        <v/>
      </c>
      <c r="G237" s="36"/>
    </row>
    <row r="238" spans="1:7" x14ac:dyDescent="0.45">
      <c r="A238" s="25"/>
      <c r="B238" s="28" t="s">
        <v>397</v>
      </c>
      <c r="C238" s="18"/>
      <c r="D238" s="25"/>
      <c r="E238" s="17"/>
      <c r="F238" s="192" t="str">
        <f t="shared" si="4"/>
        <v/>
      </c>
      <c r="G238" s="36"/>
    </row>
    <row r="239" spans="1:7" x14ac:dyDescent="0.45">
      <c r="A239" s="25"/>
      <c r="B239" s="27"/>
      <c r="C239" s="18"/>
      <c r="D239" s="25"/>
      <c r="E239" s="17"/>
      <c r="F239" s="192" t="str">
        <f t="shared" si="4"/>
        <v/>
      </c>
      <c r="G239" s="36"/>
    </row>
    <row r="240" spans="1:7" x14ac:dyDescent="0.45">
      <c r="A240" s="25" t="s">
        <v>517</v>
      </c>
      <c r="B240" s="27" t="s">
        <v>398</v>
      </c>
      <c r="C240" s="18">
        <v>254</v>
      </c>
      <c r="D240" s="25" t="s">
        <v>42</v>
      </c>
      <c r="E240" s="17">
        <v>11.98</v>
      </c>
      <c r="F240" s="192">
        <f t="shared" si="4"/>
        <v>3042.92</v>
      </c>
      <c r="G240" s="36"/>
    </row>
    <row r="241" spans="1:7" x14ac:dyDescent="0.45">
      <c r="A241" s="25"/>
      <c r="B241" s="27"/>
      <c r="C241" s="18"/>
      <c r="D241" s="25"/>
      <c r="E241" s="17"/>
      <c r="F241" s="192" t="str">
        <f t="shared" si="4"/>
        <v/>
      </c>
      <c r="G241" s="36"/>
    </row>
    <row r="242" spans="1:7" x14ac:dyDescent="0.45">
      <c r="A242" s="25" t="s">
        <v>518</v>
      </c>
      <c r="B242" s="27" t="s">
        <v>508</v>
      </c>
      <c r="C242" s="18">
        <v>16</v>
      </c>
      <c r="D242" s="25" t="s">
        <v>137</v>
      </c>
      <c r="E242" s="17">
        <v>50</v>
      </c>
      <c r="F242" s="192">
        <f t="shared" si="4"/>
        <v>800</v>
      </c>
      <c r="G242" s="36"/>
    </row>
    <row r="243" spans="1:7" x14ac:dyDescent="0.35">
      <c r="A243" s="25"/>
      <c r="B243" s="27"/>
      <c r="C243" s="18"/>
      <c r="D243" s="25"/>
      <c r="E243" s="17"/>
      <c r="F243" s="30"/>
      <c r="G243" s="36"/>
    </row>
    <row r="244" spans="1:7" x14ac:dyDescent="0.35">
      <c r="A244" s="25"/>
      <c r="B244" s="27"/>
      <c r="C244" s="18"/>
      <c r="D244" s="25"/>
      <c r="E244" s="17"/>
      <c r="F244" s="30"/>
      <c r="G244" s="36"/>
    </row>
    <row r="245" spans="1:7" x14ac:dyDescent="0.35">
      <c r="A245" s="25"/>
      <c r="B245" s="27"/>
      <c r="C245" s="18"/>
      <c r="D245" s="25"/>
      <c r="E245" s="17"/>
      <c r="F245" s="30"/>
      <c r="G245" s="36"/>
    </row>
    <row r="246" spans="1:7" x14ac:dyDescent="0.35">
      <c r="A246" s="25"/>
      <c r="B246" s="28"/>
      <c r="C246" s="18"/>
      <c r="D246" s="25"/>
      <c r="E246" s="17"/>
      <c r="F246" s="30"/>
      <c r="G246" s="36"/>
    </row>
    <row r="247" spans="1:7" x14ac:dyDescent="0.35">
      <c r="A247" s="25"/>
      <c r="B247" s="27"/>
      <c r="C247" s="18"/>
      <c r="D247" s="25"/>
      <c r="E247" s="17"/>
      <c r="F247" s="30"/>
      <c r="G247" s="36"/>
    </row>
    <row r="248" spans="1:7" x14ac:dyDescent="0.35">
      <c r="A248" s="25"/>
      <c r="B248" s="27"/>
      <c r="C248" s="18"/>
      <c r="D248" s="25"/>
      <c r="E248" s="17"/>
      <c r="F248" s="30"/>
      <c r="G248" s="36"/>
    </row>
    <row r="249" spans="1:7" x14ac:dyDescent="0.35">
      <c r="A249" s="25"/>
      <c r="B249" s="115"/>
      <c r="C249" s="18"/>
      <c r="D249" s="25"/>
      <c r="E249" s="17"/>
      <c r="F249" s="30"/>
      <c r="G249" s="36"/>
    </row>
    <row r="250" spans="1:7" x14ac:dyDescent="0.35">
      <c r="A250" s="25"/>
      <c r="B250" s="27"/>
      <c r="C250" s="18"/>
      <c r="D250" s="25"/>
      <c r="E250" s="17"/>
      <c r="F250" s="30"/>
      <c r="G250" s="36"/>
    </row>
    <row r="251" spans="1:7" x14ac:dyDescent="0.35">
      <c r="A251" s="25"/>
      <c r="B251" s="27"/>
      <c r="C251" s="18"/>
      <c r="D251" s="25"/>
      <c r="E251" s="17"/>
      <c r="F251" s="30"/>
      <c r="G251" s="36"/>
    </row>
    <row r="252" spans="1:7" x14ac:dyDescent="0.35">
      <c r="A252" s="25"/>
      <c r="B252" s="27"/>
      <c r="C252" s="18"/>
      <c r="D252" s="25"/>
      <c r="E252" s="17"/>
      <c r="F252" s="30"/>
      <c r="G252" s="36"/>
    </row>
    <row r="253" spans="1:7" x14ac:dyDescent="0.35">
      <c r="A253" s="25"/>
      <c r="B253" s="27"/>
      <c r="C253" s="18"/>
      <c r="D253" s="25"/>
      <c r="E253" s="17"/>
      <c r="F253" s="30"/>
      <c r="G253" s="36"/>
    </row>
    <row r="254" spans="1:7" x14ac:dyDescent="0.35">
      <c r="A254" s="25"/>
      <c r="B254" s="27"/>
      <c r="C254" s="18"/>
      <c r="D254" s="25"/>
      <c r="E254" s="17"/>
      <c r="F254" s="30"/>
      <c r="G254" s="36"/>
    </row>
    <row r="255" spans="1:7" x14ac:dyDescent="0.35">
      <c r="A255" s="25"/>
      <c r="B255" s="27"/>
      <c r="C255" s="18"/>
      <c r="D255" s="25"/>
      <c r="E255" s="17"/>
      <c r="F255" s="30"/>
      <c r="G255" s="36"/>
    </row>
    <row r="256" spans="1:7" x14ac:dyDescent="0.35">
      <c r="A256" s="25"/>
      <c r="B256" s="27"/>
      <c r="C256" s="18"/>
      <c r="D256" s="25"/>
      <c r="E256" s="17"/>
      <c r="F256" s="30"/>
      <c r="G256" s="36"/>
    </row>
    <row r="257" spans="1:7" x14ac:dyDescent="0.35">
      <c r="A257" s="25"/>
      <c r="B257" s="27"/>
      <c r="C257" s="18"/>
      <c r="D257" s="25"/>
      <c r="E257" s="17"/>
      <c r="F257" s="30"/>
      <c r="G257" s="36"/>
    </row>
    <row r="258" spans="1:7" x14ac:dyDescent="0.35">
      <c r="A258" s="25"/>
      <c r="B258" s="27"/>
      <c r="C258" s="18"/>
      <c r="D258" s="25"/>
      <c r="E258" s="17"/>
      <c r="F258" s="30"/>
      <c r="G258" s="36"/>
    </row>
    <row r="259" spans="1:7" x14ac:dyDescent="0.35">
      <c r="A259" s="25"/>
      <c r="B259" s="27"/>
      <c r="C259" s="18"/>
      <c r="D259" s="25"/>
      <c r="E259" s="17"/>
      <c r="F259" s="30"/>
      <c r="G259" s="36"/>
    </row>
    <row r="260" spans="1:7" x14ac:dyDescent="0.35">
      <c r="A260" s="25"/>
      <c r="B260" s="27"/>
      <c r="C260" s="18"/>
      <c r="D260" s="25"/>
      <c r="E260" s="17"/>
      <c r="F260" s="30"/>
      <c r="G260" s="36"/>
    </row>
    <row r="261" spans="1:7" x14ac:dyDescent="0.35">
      <c r="A261" s="25"/>
      <c r="B261" s="27"/>
      <c r="C261" s="18"/>
      <c r="D261" s="25"/>
      <c r="E261" s="17"/>
      <c r="F261" s="30"/>
      <c r="G261" s="36"/>
    </row>
    <row r="262" spans="1:7" x14ac:dyDescent="0.35">
      <c r="A262" s="25"/>
      <c r="B262" s="27"/>
      <c r="C262" s="18"/>
      <c r="D262" s="25"/>
      <c r="E262" s="17"/>
      <c r="F262" s="30"/>
      <c r="G262" s="36"/>
    </row>
    <row r="263" spans="1:7" x14ac:dyDescent="0.35">
      <c r="A263" s="25"/>
      <c r="B263" s="27"/>
      <c r="C263" s="18"/>
      <c r="D263" s="25"/>
      <c r="E263" s="17"/>
      <c r="F263" s="30"/>
      <c r="G263" s="36"/>
    </row>
    <row r="264" spans="1:7" x14ac:dyDescent="0.35">
      <c r="A264" s="25"/>
      <c r="B264" s="27"/>
      <c r="C264" s="18"/>
      <c r="D264" s="25"/>
      <c r="E264" s="17"/>
      <c r="F264" s="30"/>
      <c r="G264" s="36"/>
    </row>
    <row r="265" spans="1:7" x14ac:dyDescent="0.35">
      <c r="A265" s="25"/>
      <c r="B265" s="27"/>
      <c r="C265" s="18"/>
      <c r="D265" s="25"/>
      <c r="E265" s="17"/>
      <c r="F265" s="30"/>
      <c r="G265" s="36"/>
    </row>
    <row r="266" spans="1:7" x14ac:dyDescent="0.35">
      <c r="A266" s="25"/>
      <c r="B266" s="27"/>
      <c r="C266" s="18"/>
      <c r="D266" s="25"/>
      <c r="E266" s="17"/>
      <c r="F266" s="30"/>
      <c r="G266" s="36"/>
    </row>
    <row r="267" spans="1:7" x14ac:dyDescent="0.35">
      <c r="A267" s="25"/>
      <c r="B267" s="27"/>
      <c r="C267" s="18"/>
      <c r="D267" s="25"/>
      <c r="E267" s="17"/>
      <c r="F267" s="30"/>
      <c r="G267" s="36"/>
    </row>
    <row r="268" spans="1:7" x14ac:dyDescent="0.35">
      <c r="A268" s="25"/>
      <c r="B268" s="27"/>
      <c r="C268" s="18"/>
      <c r="D268" s="25"/>
      <c r="E268" s="17"/>
      <c r="F268" s="30"/>
      <c r="G268" s="36"/>
    </row>
    <row r="269" spans="1:7" x14ac:dyDescent="0.35">
      <c r="A269" s="4"/>
      <c r="B269" s="6"/>
      <c r="C269" s="6"/>
      <c r="D269" s="23"/>
      <c r="E269" s="6"/>
      <c r="F269" s="31"/>
      <c r="G269" s="175"/>
    </row>
    <row r="270" spans="1:7" x14ac:dyDescent="0.35">
      <c r="A270" s="7"/>
      <c r="B270" s="9"/>
      <c r="C270" s="9" t="s">
        <v>21</v>
      </c>
      <c r="D270" s="21"/>
      <c r="E270" s="9"/>
      <c r="F270" s="33">
        <f>SUM(F203:F268)</f>
        <v>19690.77</v>
      </c>
      <c r="G270" s="175"/>
    </row>
    <row r="271" spans="1:7" x14ac:dyDescent="0.35">
      <c r="A271" s="10"/>
      <c r="B271" s="12"/>
      <c r="C271" s="12"/>
      <c r="D271" s="24"/>
      <c r="E271" s="12"/>
      <c r="F271" s="34"/>
      <c r="G271" s="175"/>
    </row>
  </sheetData>
  <pageMargins left="0.55118110236220474" right="0.19685039370078741" top="0.35433070866141736" bottom="0.55118110236220474" header="0.19685039370078741" footer="0.39370078740157483"/>
  <pageSetup paperSize="9" scale="54" orientation="portrait" r:id="rId1"/>
  <headerFooter alignWithMargins="0">
    <oddFooter>&amp;C&amp;"Times New Roman,Regular"Page 8/&amp;P</oddFooter>
  </headerFooter>
  <rowBreaks count="3" manualBreakCount="3">
    <brk id="50" max="16383" man="1"/>
    <brk id="130" max="6" man="1"/>
    <brk id="20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3"/>
  <sheetViews>
    <sheetView view="pageBreakPreview" topLeftCell="A10" zoomScaleNormal="100" zoomScaleSheetLayoutView="100" workbookViewId="0">
      <selection activeCell="E53" sqref="E53"/>
    </sheetView>
  </sheetViews>
  <sheetFormatPr defaultColWidth="9.1328125" defaultRowHeight="15.4" x14ac:dyDescent="0.35"/>
  <cols>
    <col min="1" max="1" width="6.53125" style="1" customWidth="1"/>
    <col min="2" max="2" width="50.796875" style="1" customWidth="1"/>
    <col min="3" max="3" width="10.46484375" style="1" customWidth="1"/>
    <col min="4" max="4" width="5.46484375" style="26" customWidth="1"/>
    <col min="5" max="5" width="12.46484375" style="1" bestFit="1" customWidth="1"/>
    <col min="6" max="6" width="15.19921875" style="36" customWidth="1"/>
    <col min="7" max="7" width="17" style="1" customWidth="1"/>
    <col min="8" max="9" width="9.1328125" style="1"/>
    <col min="10" max="10" width="9.796875" style="1" bestFit="1" customWidth="1"/>
    <col min="11" max="16384" width="9.1328125" style="1"/>
  </cols>
  <sheetData>
    <row r="1" spans="1:7" x14ac:dyDescent="0.35">
      <c r="A1" s="4"/>
      <c r="B1" s="5"/>
      <c r="C1" s="4"/>
      <c r="D1" s="37"/>
      <c r="E1" s="5"/>
      <c r="F1" s="31"/>
    </row>
    <row r="2" spans="1:7" x14ac:dyDescent="0.35">
      <c r="A2" s="101" t="str">
        <f>'02 Plot Groundworks'!A2</f>
        <v>The Former Police Station, Haslingden</v>
      </c>
      <c r="B2" s="14"/>
      <c r="C2" s="13"/>
      <c r="D2" s="15" t="s">
        <v>121</v>
      </c>
      <c r="E2" s="14"/>
      <c r="F2" s="32" t="s">
        <v>6</v>
      </c>
    </row>
    <row r="3" spans="1:7" x14ac:dyDescent="0.35">
      <c r="A3" s="10"/>
      <c r="B3" s="11"/>
      <c r="C3" s="10"/>
      <c r="D3" s="24"/>
      <c r="E3" s="11"/>
      <c r="F3" s="34"/>
    </row>
    <row r="4" spans="1:7" x14ac:dyDescent="0.35">
      <c r="A4" s="29"/>
      <c r="B4" s="3" t="s">
        <v>22</v>
      </c>
      <c r="C4" s="3" t="s">
        <v>26</v>
      </c>
      <c r="D4" s="3" t="s">
        <v>23</v>
      </c>
      <c r="E4" s="3" t="s">
        <v>24</v>
      </c>
      <c r="F4" s="35" t="s">
        <v>25</v>
      </c>
      <c r="G4" s="178" t="s">
        <v>118</v>
      </c>
    </row>
    <row r="5" spans="1:7" x14ac:dyDescent="0.35">
      <c r="A5" s="25"/>
      <c r="B5" s="42"/>
      <c r="C5" s="42"/>
      <c r="D5" s="42"/>
      <c r="E5" s="42"/>
      <c r="F5" s="71"/>
    </row>
    <row r="6" spans="1:7" x14ac:dyDescent="0.35">
      <c r="A6" s="25"/>
      <c r="B6" s="84" t="s">
        <v>120</v>
      </c>
      <c r="C6" s="18"/>
      <c r="D6" s="25"/>
      <c r="E6" s="16"/>
      <c r="F6" s="30"/>
    </row>
    <row r="7" spans="1:7" ht="15.75" customHeight="1" x14ac:dyDescent="0.35">
      <c r="A7" s="25"/>
      <c r="B7" s="19"/>
      <c r="C7" s="18"/>
      <c r="D7" s="25"/>
      <c r="E7" s="16"/>
      <c r="F7" s="30"/>
    </row>
    <row r="8" spans="1:7" x14ac:dyDescent="0.45">
      <c r="A8" s="316"/>
      <c r="B8" s="319" t="s">
        <v>122</v>
      </c>
      <c r="C8" s="135"/>
      <c r="D8" s="136"/>
      <c r="E8" s="191"/>
      <c r="F8" s="192"/>
    </row>
    <row r="9" spans="1:7" ht="15" customHeight="1" x14ac:dyDescent="0.35">
      <c r="A9" s="314"/>
      <c r="B9" s="90"/>
      <c r="C9" s="18"/>
      <c r="D9" s="25"/>
      <c r="E9" s="16"/>
      <c r="F9" s="30"/>
    </row>
    <row r="10" spans="1:7" x14ac:dyDescent="0.45">
      <c r="A10" s="314" t="s">
        <v>9</v>
      </c>
      <c r="B10" s="2" t="s">
        <v>400</v>
      </c>
      <c r="C10" s="135">
        <v>77</v>
      </c>
      <c r="D10" s="136" t="s">
        <v>30</v>
      </c>
      <c r="E10" s="191">
        <v>6.5</v>
      </c>
      <c r="F10" s="192">
        <f t="shared" ref="F10:F11" si="0">IF(C10="","",(C10*E10))</f>
        <v>500.5</v>
      </c>
    </row>
    <row r="11" spans="1:7" ht="15" customHeight="1" x14ac:dyDescent="0.45">
      <c r="A11" s="314"/>
      <c r="B11" s="90"/>
      <c r="C11" s="135"/>
      <c r="D11" s="136"/>
      <c r="E11" s="191"/>
      <c r="F11" s="192" t="str">
        <f t="shared" si="0"/>
        <v/>
      </c>
    </row>
    <row r="12" spans="1:7" ht="30.75" x14ac:dyDescent="0.45">
      <c r="A12" s="316" t="s">
        <v>10</v>
      </c>
      <c r="B12" s="87" t="s">
        <v>401</v>
      </c>
      <c r="C12" s="135">
        <f>326*1.1</f>
        <v>358.6</v>
      </c>
      <c r="D12" s="136" t="s">
        <v>42</v>
      </c>
      <c r="E12" s="191">
        <v>55</v>
      </c>
      <c r="F12" s="192">
        <f>IF(C12="","",(C12*E12))</f>
        <v>19723</v>
      </c>
    </row>
    <row r="13" spans="1:7" x14ac:dyDescent="0.45">
      <c r="A13" s="316"/>
      <c r="B13" s="87"/>
      <c r="C13" s="343"/>
      <c r="D13" s="153"/>
      <c r="E13" s="341"/>
      <c r="F13" s="344"/>
    </row>
    <row r="14" spans="1:7" ht="30.75" x14ac:dyDescent="0.45">
      <c r="A14" s="316" t="s">
        <v>11</v>
      </c>
      <c r="B14" s="87" t="s">
        <v>402</v>
      </c>
      <c r="C14" s="135">
        <f>C16</f>
        <v>448</v>
      </c>
      <c r="D14" s="136" t="s">
        <v>42</v>
      </c>
      <c r="E14" s="191">
        <v>3.5</v>
      </c>
      <c r="F14" s="192">
        <f>IF(C14="","",(C14*E14))</f>
        <v>1568</v>
      </c>
    </row>
    <row r="15" spans="1:7" x14ac:dyDescent="0.45">
      <c r="A15" s="317"/>
      <c r="B15" s="125"/>
      <c r="C15" s="169"/>
      <c r="D15" s="345"/>
      <c r="E15" s="341"/>
      <c r="F15" s="307"/>
    </row>
    <row r="16" spans="1:7" ht="30.75" x14ac:dyDescent="0.45">
      <c r="A16" s="316" t="s">
        <v>12</v>
      </c>
      <c r="B16" s="87" t="s">
        <v>403</v>
      </c>
      <c r="C16" s="310">
        <v>448</v>
      </c>
      <c r="D16" s="153" t="s">
        <v>42</v>
      </c>
      <c r="E16" s="341">
        <v>22</v>
      </c>
      <c r="F16" s="307">
        <f>IF(C16="","",(C16*E16))</f>
        <v>9856</v>
      </c>
    </row>
    <row r="17" spans="1:6" x14ac:dyDescent="0.45">
      <c r="A17" s="316"/>
      <c r="B17" s="87"/>
      <c r="C17" s="310"/>
      <c r="D17" s="153"/>
      <c r="E17" s="341"/>
      <c r="F17" s="307"/>
    </row>
    <row r="18" spans="1:6" x14ac:dyDescent="0.45">
      <c r="A18" s="316" t="s">
        <v>13</v>
      </c>
      <c r="B18" s="87" t="s">
        <v>432</v>
      </c>
      <c r="C18" s="343">
        <f>((15*2.5)*6)*1.1</f>
        <v>247.50000000000003</v>
      </c>
      <c r="D18" s="153" t="s">
        <v>42</v>
      </c>
      <c r="E18" s="341">
        <v>22</v>
      </c>
      <c r="F18" s="307">
        <f>IF(C18="","",(C18*E18))</f>
        <v>5445.0000000000009</v>
      </c>
    </row>
    <row r="19" spans="1:6" x14ac:dyDescent="0.45">
      <c r="A19" s="316"/>
      <c r="B19" s="87"/>
      <c r="C19" s="310"/>
      <c r="D19" s="153"/>
      <c r="E19" s="341"/>
      <c r="F19" s="307"/>
    </row>
    <row r="20" spans="1:6" ht="30.75" x14ac:dyDescent="0.45">
      <c r="A20" s="316" t="s">
        <v>14</v>
      </c>
      <c r="B20" s="87" t="s">
        <v>404</v>
      </c>
      <c r="C20" s="310">
        <v>838.1</v>
      </c>
      <c r="D20" s="153" t="s">
        <v>42</v>
      </c>
      <c r="E20" s="341">
        <v>22</v>
      </c>
      <c r="F20" s="192">
        <f t="shared" ref="F20:F56" si="1">IF(C20="","",(C20*E20))</f>
        <v>18438.2</v>
      </c>
    </row>
    <row r="21" spans="1:6" x14ac:dyDescent="0.45">
      <c r="A21" s="316"/>
      <c r="B21" s="87"/>
      <c r="C21" s="310"/>
      <c r="D21" s="153"/>
      <c r="E21" s="341"/>
      <c r="F21" s="192"/>
    </row>
    <row r="22" spans="1:6" x14ac:dyDescent="0.45">
      <c r="A22" s="316" t="s">
        <v>15</v>
      </c>
      <c r="B22" s="87" t="s">
        <v>405</v>
      </c>
      <c r="C22" s="310">
        <v>419.01</v>
      </c>
      <c r="D22" s="153" t="s">
        <v>42</v>
      </c>
      <c r="E22" s="341">
        <v>3.5</v>
      </c>
      <c r="F22" s="192">
        <f t="shared" si="1"/>
        <v>1466.5349999999999</v>
      </c>
    </row>
    <row r="23" spans="1:6" x14ac:dyDescent="0.45">
      <c r="A23" s="317"/>
      <c r="B23" s="125"/>
      <c r="C23" s="346"/>
      <c r="D23" s="345"/>
      <c r="E23" s="341"/>
      <c r="F23" s="344"/>
    </row>
    <row r="24" spans="1:6" ht="46.15" x14ac:dyDescent="0.45">
      <c r="A24" s="316" t="s">
        <v>16</v>
      </c>
      <c r="B24" s="87" t="s">
        <v>406</v>
      </c>
      <c r="C24" s="318">
        <f>123*1.1</f>
        <v>135.30000000000001</v>
      </c>
      <c r="D24" s="136" t="s">
        <v>42</v>
      </c>
      <c r="E24" s="347">
        <v>22</v>
      </c>
      <c r="F24" s="192">
        <f t="shared" si="1"/>
        <v>2976.6000000000004</v>
      </c>
    </row>
    <row r="25" spans="1:6" x14ac:dyDescent="0.45">
      <c r="A25" s="316"/>
      <c r="B25" s="87"/>
      <c r="C25" s="135"/>
      <c r="D25" s="136"/>
      <c r="E25" s="347"/>
      <c r="F25" s="192" t="str">
        <f t="shared" si="1"/>
        <v/>
      </c>
    </row>
    <row r="26" spans="1:6" x14ac:dyDescent="0.45">
      <c r="A26" s="316" t="s">
        <v>33</v>
      </c>
      <c r="B26" s="87" t="s">
        <v>407</v>
      </c>
      <c r="C26" s="135">
        <f>67+4</f>
        <v>71</v>
      </c>
      <c r="D26" s="136" t="s">
        <v>30</v>
      </c>
      <c r="E26" s="347">
        <v>19.5</v>
      </c>
      <c r="F26" s="192">
        <f t="shared" si="1"/>
        <v>1384.5</v>
      </c>
    </row>
    <row r="27" spans="1:6" x14ac:dyDescent="0.45">
      <c r="A27" s="317"/>
      <c r="B27" s="125"/>
      <c r="C27" s="346"/>
      <c r="D27" s="345"/>
      <c r="E27" s="341"/>
      <c r="F27" s="192" t="str">
        <f t="shared" si="1"/>
        <v/>
      </c>
    </row>
    <row r="28" spans="1:6" x14ac:dyDescent="0.45">
      <c r="A28" s="316" t="s">
        <v>17</v>
      </c>
      <c r="B28" s="87" t="s">
        <v>408</v>
      </c>
      <c r="C28" s="343">
        <f>46+59</f>
        <v>105</v>
      </c>
      <c r="D28" s="153" t="s">
        <v>30</v>
      </c>
      <c r="E28" s="341">
        <v>37.5</v>
      </c>
      <c r="F28" s="192">
        <f t="shared" si="1"/>
        <v>3937.5</v>
      </c>
    </row>
    <row r="29" spans="1:6" x14ac:dyDescent="0.45">
      <c r="A29" s="317"/>
      <c r="B29" s="125"/>
      <c r="C29" s="346"/>
      <c r="D29" s="345"/>
      <c r="E29" s="341"/>
      <c r="F29" s="192" t="str">
        <f t="shared" si="1"/>
        <v/>
      </c>
    </row>
    <row r="30" spans="1:6" x14ac:dyDescent="0.45">
      <c r="A30" s="316" t="s">
        <v>18</v>
      </c>
      <c r="B30" s="2" t="s">
        <v>123</v>
      </c>
      <c r="C30" s="135">
        <f>C26</f>
        <v>71</v>
      </c>
      <c r="D30" s="136" t="s">
        <v>30</v>
      </c>
      <c r="E30" s="347">
        <v>6.5</v>
      </c>
      <c r="F30" s="192">
        <f t="shared" si="1"/>
        <v>461.5</v>
      </c>
    </row>
    <row r="31" spans="1:6" x14ac:dyDescent="0.45">
      <c r="A31" s="316"/>
      <c r="B31" s="43"/>
      <c r="C31" s="310"/>
      <c r="D31" s="153"/>
      <c r="E31" s="341"/>
      <c r="F31" s="192" t="str">
        <f t="shared" si="1"/>
        <v/>
      </c>
    </row>
    <row r="32" spans="1:6" ht="19.5" customHeight="1" x14ac:dyDescent="0.45">
      <c r="A32" s="316" t="s">
        <v>19</v>
      </c>
      <c r="B32" s="87" t="s">
        <v>181</v>
      </c>
      <c r="C32" s="343">
        <v>48</v>
      </c>
      <c r="D32" s="153" t="s">
        <v>137</v>
      </c>
      <c r="E32" s="341">
        <v>5</v>
      </c>
      <c r="F32" s="192">
        <f t="shared" si="1"/>
        <v>240</v>
      </c>
    </row>
    <row r="33" spans="1:6" ht="19.5" customHeight="1" x14ac:dyDescent="0.45">
      <c r="A33" s="316"/>
      <c r="B33" s="87"/>
      <c r="C33" s="343"/>
      <c r="D33" s="153"/>
      <c r="E33" s="341"/>
      <c r="F33" s="192"/>
    </row>
    <row r="34" spans="1:6" ht="19.5" customHeight="1" x14ac:dyDescent="0.45">
      <c r="A34" s="316" t="s">
        <v>4</v>
      </c>
      <c r="B34" s="87" t="s">
        <v>542</v>
      </c>
      <c r="C34" s="343">
        <v>6</v>
      </c>
      <c r="D34" s="153" t="s">
        <v>137</v>
      </c>
      <c r="E34" s="341">
        <v>225</v>
      </c>
      <c r="F34" s="192">
        <f t="shared" si="1"/>
        <v>1350</v>
      </c>
    </row>
    <row r="35" spans="1:6" ht="19.5" customHeight="1" x14ac:dyDescent="0.45">
      <c r="A35" s="316"/>
      <c r="B35" s="87"/>
      <c r="C35" s="343"/>
      <c r="D35" s="153"/>
      <c r="E35" s="341"/>
      <c r="F35" s="192"/>
    </row>
    <row r="36" spans="1:6" ht="19.5" customHeight="1" x14ac:dyDescent="0.45">
      <c r="A36" s="316" t="s">
        <v>37</v>
      </c>
      <c r="B36" s="87" t="s">
        <v>501</v>
      </c>
      <c r="C36" s="343">
        <v>6</v>
      </c>
      <c r="D36" s="153" t="s">
        <v>137</v>
      </c>
      <c r="E36" s="341">
        <v>30</v>
      </c>
      <c r="F36" s="192">
        <f t="shared" si="1"/>
        <v>180</v>
      </c>
    </row>
    <row r="37" spans="1:6" x14ac:dyDescent="0.45">
      <c r="A37" s="316"/>
      <c r="B37" s="315"/>
      <c r="C37" s="343"/>
      <c r="D37" s="153"/>
      <c r="E37" s="341"/>
      <c r="F37" s="192" t="str">
        <f t="shared" si="1"/>
        <v/>
      </c>
    </row>
    <row r="38" spans="1:6" x14ac:dyDescent="0.45">
      <c r="A38" s="316"/>
      <c r="B38" s="319" t="s">
        <v>125</v>
      </c>
      <c r="C38" s="135"/>
      <c r="D38" s="136"/>
      <c r="E38" s="341"/>
      <c r="F38" s="192" t="str">
        <f t="shared" si="1"/>
        <v/>
      </c>
    </row>
    <row r="39" spans="1:6" x14ac:dyDescent="0.45">
      <c r="A39" s="316"/>
      <c r="B39" s="90"/>
      <c r="C39" s="135"/>
      <c r="D39" s="136"/>
      <c r="E39" s="341"/>
      <c r="F39" s="192" t="str">
        <f t="shared" si="1"/>
        <v/>
      </c>
    </row>
    <row r="40" spans="1:6" x14ac:dyDescent="0.45">
      <c r="A40" s="316" t="s">
        <v>105</v>
      </c>
      <c r="B40" s="2" t="s">
        <v>400</v>
      </c>
      <c r="C40" s="135">
        <v>40</v>
      </c>
      <c r="D40" s="136" t="s">
        <v>30</v>
      </c>
      <c r="E40" s="341">
        <v>6.5</v>
      </c>
      <c r="F40" s="192">
        <f t="shared" si="1"/>
        <v>260</v>
      </c>
    </row>
    <row r="41" spans="1:6" x14ac:dyDescent="0.45">
      <c r="A41" s="316"/>
      <c r="B41" s="90"/>
      <c r="C41" s="135"/>
      <c r="D41" s="136"/>
      <c r="E41" s="341"/>
      <c r="F41" s="192" t="str">
        <f t="shared" si="1"/>
        <v/>
      </c>
    </row>
    <row r="42" spans="1:6" ht="30.75" x14ac:dyDescent="0.45">
      <c r="A42" s="316" t="s">
        <v>106</v>
      </c>
      <c r="B42" s="87" t="s">
        <v>401</v>
      </c>
      <c r="C42" s="135">
        <f>192*1.1</f>
        <v>211.20000000000002</v>
      </c>
      <c r="D42" s="136" t="s">
        <v>42</v>
      </c>
      <c r="E42" s="341">
        <v>55</v>
      </c>
      <c r="F42" s="192">
        <f t="shared" si="1"/>
        <v>11616.000000000002</v>
      </c>
    </row>
    <row r="43" spans="1:6" x14ac:dyDescent="0.45">
      <c r="A43" s="316"/>
      <c r="B43" s="87"/>
      <c r="C43" s="343"/>
      <c r="D43" s="153"/>
      <c r="E43" s="341"/>
      <c r="F43" s="192" t="str">
        <f t="shared" si="1"/>
        <v/>
      </c>
    </row>
    <row r="44" spans="1:6" ht="35.25" customHeight="1" x14ac:dyDescent="0.45">
      <c r="A44" s="316" t="s">
        <v>107</v>
      </c>
      <c r="B44" s="87" t="s">
        <v>402</v>
      </c>
      <c r="C44" s="135">
        <f>C46</f>
        <v>256.20000000000005</v>
      </c>
      <c r="D44" s="136" t="s">
        <v>42</v>
      </c>
      <c r="E44" s="341">
        <v>3.5</v>
      </c>
      <c r="F44" s="192">
        <f t="shared" si="1"/>
        <v>896.70000000000016</v>
      </c>
    </row>
    <row r="45" spans="1:6" x14ac:dyDescent="0.45">
      <c r="A45" s="316"/>
      <c r="B45" s="125"/>
      <c r="C45" s="169"/>
      <c r="D45" s="345"/>
      <c r="E45" s="341"/>
      <c r="F45" s="192" t="str">
        <f t="shared" si="1"/>
        <v/>
      </c>
    </row>
    <row r="46" spans="1:6" ht="30.75" x14ac:dyDescent="0.45">
      <c r="A46" s="316" t="s">
        <v>108</v>
      </c>
      <c r="B46" s="87" t="s">
        <v>403</v>
      </c>
      <c r="C46" s="310">
        <f>C52+C42</f>
        <v>256.20000000000005</v>
      </c>
      <c r="D46" s="153" t="s">
        <v>42</v>
      </c>
      <c r="E46" s="341">
        <v>22</v>
      </c>
      <c r="F46" s="192">
        <f t="shared" si="1"/>
        <v>5636.4000000000015</v>
      </c>
    </row>
    <row r="47" spans="1:6" x14ac:dyDescent="0.45">
      <c r="A47" s="316"/>
      <c r="B47" s="87"/>
      <c r="C47" s="310"/>
      <c r="D47" s="153"/>
      <c r="E47" s="341"/>
      <c r="F47" s="192"/>
    </row>
    <row r="48" spans="1:6" ht="30.75" x14ac:dyDescent="0.45">
      <c r="A48" s="316" t="s">
        <v>109</v>
      </c>
      <c r="B48" s="87" t="s">
        <v>404</v>
      </c>
      <c r="C48" s="310">
        <v>138</v>
      </c>
      <c r="D48" s="153" t="s">
        <v>42</v>
      </c>
      <c r="E48" s="341">
        <v>22</v>
      </c>
      <c r="F48" s="192">
        <f t="shared" si="1"/>
        <v>3036</v>
      </c>
    </row>
    <row r="49" spans="1:6" x14ac:dyDescent="0.45">
      <c r="A49" s="85"/>
      <c r="B49" s="87"/>
      <c r="C49" s="310"/>
      <c r="D49" s="153"/>
      <c r="E49" s="341"/>
      <c r="F49" s="192" t="str">
        <f t="shared" si="1"/>
        <v/>
      </c>
    </row>
    <row r="50" spans="1:6" x14ac:dyDescent="0.45">
      <c r="A50" s="85" t="s">
        <v>110</v>
      </c>
      <c r="B50" s="87" t="s">
        <v>405</v>
      </c>
      <c r="C50" s="310">
        <v>69</v>
      </c>
      <c r="D50" s="153" t="s">
        <v>42</v>
      </c>
      <c r="E50" s="341">
        <v>3.5</v>
      </c>
      <c r="F50" s="192">
        <f t="shared" si="1"/>
        <v>241.5</v>
      </c>
    </row>
    <row r="51" spans="1:6" x14ac:dyDescent="0.45">
      <c r="A51" s="85"/>
      <c r="B51" s="125"/>
      <c r="C51" s="310"/>
      <c r="D51" s="153"/>
      <c r="E51" s="341"/>
      <c r="F51" s="192"/>
    </row>
    <row r="52" spans="1:6" ht="46.15" x14ac:dyDescent="0.45">
      <c r="A52" s="316" t="s">
        <v>111</v>
      </c>
      <c r="B52" s="87" t="s">
        <v>406</v>
      </c>
      <c r="C52" s="348">
        <v>45</v>
      </c>
      <c r="D52" s="136" t="s">
        <v>42</v>
      </c>
      <c r="E52" s="347">
        <v>22</v>
      </c>
      <c r="F52" s="192">
        <f t="shared" si="1"/>
        <v>990</v>
      </c>
    </row>
    <row r="53" spans="1:6" x14ac:dyDescent="0.45">
      <c r="A53" s="316"/>
      <c r="B53" s="87"/>
      <c r="C53" s="135"/>
      <c r="D53" s="136"/>
      <c r="E53" s="347"/>
      <c r="F53" s="192" t="str">
        <f t="shared" si="1"/>
        <v/>
      </c>
    </row>
    <row r="54" spans="1:6" x14ac:dyDescent="0.45">
      <c r="A54" s="316" t="s">
        <v>112</v>
      </c>
      <c r="B54" s="87" t="s">
        <v>407</v>
      </c>
      <c r="C54" s="135">
        <f>3+24+2</f>
        <v>29</v>
      </c>
      <c r="D54" s="136" t="s">
        <v>30</v>
      </c>
      <c r="E54" s="347">
        <v>19.5</v>
      </c>
      <c r="F54" s="192">
        <f t="shared" si="1"/>
        <v>565.5</v>
      </c>
    </row>
    <row r="55" spans="1:6" x14ac:dyDescent="0.45">
      <c r="A55" s="316"/>
      <c r="B55" s="125"/>
      <c r="C55" s="346"/>
      <c r="D55" s="345"/>
      <c r="E55" s="341"/>
      <c r="F55" s="192" t="str">
        <f t="shared" si="1"/>
        <v/>
      </c>
    </row>
    <row r="56" spans="1:6" x14ac:dyDescent="0.45">
      <c r="A56" s="316" t="s">
        <v>191</v>
      </c>
      <c r="B56" s="87" t="s">
        <v>408</v>
      </c>
      <c r="C56" s="343">
        <f>19+24</f>
        <v>43</v>
      </c>
      <c r="D56" s="153" t="s">
        <v>30</v>
      </c>
      <c r="E56" s="341">
        <v>37.5</v>
      </c>
      <c r="F56" s="192">
        <f t="shared" si="1"/>
        <v>1612.5</v>
      </c>
    </row>
    <row r="57" spans="1:6" x14ac:dyDescent="0.45">
      <c r="A57" s="349"/>
      <c r="B57" s="350"/>
      <c r="C57" s="351"/>
      <c r="D57" s="352"/>
      <c r="E57" s="353"/>
      <c r="F57" s="192"/>
    </row>
    <row r="58" spans="1:6" x14ac:dyDescent="0.35">
      <c r="A58" s="38"/>
      <c r="B58" s="6"/>
      <c r="C58" s="6"/>
      <c r="D58" s="23"/>
      <c r="E58" s="6"/>
      <c r="F58" s="31"/>
    </row>
    <row r="59" spans="1:6" x14ac:dyDescent="0.35">
      <c r="A59" s="39"/>
      <c r="B59" s="9"/>
      <c r="C59" s="9" t="s">
        <v>27</v>
      </c>
      <c r="D59" s="21"/>
      <c r="E59" s="40"/>
      <c r="F59" s="33">
        <f>SUM(F6:F58)</f>
        <v>92381.934999999998</v>
      </c>
    </row>
    <row r="60" spans="1:6" x14ac:dyDescent="0.35">
      <c r="A60" s="41"/>
      <c r="B60" s="12"/>
      <c r="C60" s="12"/>
      <c r="D60" s="24"/>
      <c r="E60" s="12"/>
      <c r="F60" s="34"/>
    </row>
    <row r="61" spans="1:6" x14ac:dyDescent="0.35">
      <c r="A61" s="25"/>
      <c r="B61" s="2"/>
      <c r="C61" s="18"/>
      <c r="D61" s="25"/>
      <c r="E61" s="16"/>
      <c r="F61" s="30" t="str">
        <f>IF(C61="","",(C61*E61))</f>
        <v/>
      </c>
    </row>
    <row r="62" spans="1:6" x14ac:dyDescent="0.35">
      <c r="A62" s="25"/>
      <c r="B62" s="22" t="s">
        <v>28</v>
      </c>
      <c r="C62" s="18"/>
      <c r="D62" s="25"/>
      <c r="E62" s="16"/>
      <c r="F62" s="30"/>
    </row>
    <row r="63" spans="1:6" x14ac:dyDescent="0.35">
      <c r="A63" s="25"/>
      <c r="B63" s="20"/>
      <c r="C63" s="18"/>
      <c r="D63" s="25"/>
      <c r="E63" s="16"/>
      <c r="F63" s="30" t="str">
        <f>IF(C63="","",(C63*E63))</f>
        <v/>
      </c>
    </row>
    <row r="64" spans="1:6" x14ac:dyDescent="0.35">
      <c r="A64" s="316" t="s">
        <v>192</v>
      </c>
      <c r="B64" s="2" t="s">
        <v>123</v>
      </c>
      <c r="C64" s="18">
        <f>C54</f>
        <v>29</v>
      </c>
      <c r="D64" s="25" t="s">
        <v>30</v>
      </c>
      <c r="E64" s="16">
        <v>6.5</v>
      </c>
      <c r="F64" s="30">
        <f t="shared" ref="F64:F66" si="2">IF(C64="","",(C64*E64))</f>
        <v>188.5</v>
      </c>
    </row>
    <row r="65" spans="1:10" x14ac:dyDescent="0.35">
      <c r="A65" s="316"/>
      <c r="B65" s="43"/>
      <c r="C65" s="77"/>
      <c r="D65" s="85"/>
      <c r="E65" s="16"/>
      <c r="F65" s="30"/>
    </row>
    <row r="66" spans="1:10" x14ac:dyDescent="0.35">
      <c r="A66" s="25" t="s">
        <v>193</v>
      </c>
      <c r="B66" s="87" t="s">
        <v>181</v>
      </c>
      <c r="C66" s="88">
        <v>19</v>
      </c>
      <c r="D66" s="85" t="s">
        <v>137</v>
      </c>
      <c r="E66" s="86">
        <v>5</v>
      </c>
      <c r="F66" s="30">
        <f t="shared" si="2"/>
        <v>95</v>
      </c>
    </row>
    <row r="67" spans="1:10" x14ac:dyDescent="0.35">
      <c r="A67" s="25"/>
      <c r="B67" s="87"/>
      <c r="C67" s="88"/>
      <c r="D67" s="85"/>
      <c r="E67" s="86"/>
      <c r="F67" s="30"/>
    </row>
    <row r="68" spans="1:10" x14ac:dyDescent="0.35">
      <c r="A68" s="25" t="s">
        <v>194</v>
      </c>
      <c r="B68" s="87" t="s">
        <v>542</v>
      </c>
      <c r="C68" s="88">
        <v>2</v>
      </c>
      <c r="D68" s="85" t="s">
        <v>137</v>
      </c>
      <c r="E68" s="86">
        <v>225</v>
      </c>
      <c r="F68" s="30">
        <f t="shared" ref="F68" si="3">IF(C68="","",(C68*E68))</f>
        <v>450</v>
      </c>
    </row>
    <row r="69" spans="1:10" x14ac:dyDescent="0.35">
      <c r="A69" s="25"/>
      <c r="B69" s="87"/>
      <c r="C69" s="88"/>
      <c r="D69" s="85"/>
      <c r="E69" s="86"/>
      <c r="F69" s="30"/>
    </row>
    <row r="70" spans="1:10" x14ac:dyDescent="0.35">
      <c r="A70" s="25" t="s">
        <v>195</v>
      </c>
      <c r="B70" s="87" t="s">
        <v>501</v>
      </c>
      <c r="C70" s="88">
        <v>2</v>
      </c>
      <c r="D70" s="85" t="s">
        <v>137</v>
      </c>
      <c r="E70" s="86">
        <v>30</v>
      </c>
      <c r="F70" s="30">
        <f t="shared" ref="F70" si="4">IF(C70="","",(C70*E70))</f>
        <v>60</v>
      </c>
    </row>
    <row r="71" spans="1:10" x14ac:dyDescent="0.35">
      <c r="A71" s="25"/>
      <c r="B71" s="20"/>
      <c r="C71" s="18"/>
      <c r="D71" s="25"/>
      <c r="E71" s="16"/>
      <c r="F71" s="30"/>
    </row>
    <row r="72" spans="1:10" x14ac:dyDescent="0.35">
      <c r="A72" s="25"/>
      <c r="B72" s="19" t="s">
        <v>189</v>
      </c>
      <c r="C72" s="18"/>
      <c r="D72" s="25"/>
      <c r="E72" s="16"/>
      <c r="F72" s="30"/>
    </row>
    <row r="73" spans="1:10" x14ac:dyDescent="0.35">
      <c r="A73" s="25"/>
      <c r="B73" s="20"/>
      <c r="C73" s="18"/>
      <c r="D73" s="25"/>
      <c r="E73" s="16"/>
      <c r="F73" s="30"/>
    </row>
    <row r="74" spans="1:10" x14ac:dyDescent="0.35">
      <c r="A74" s="25" t="s">
        <v>196</v>
      </c>
      <c r="B74" s="2" t="s">
        <v>182</v>
      </c>
      <c r="C74" s="18">
        <v>31</v>
      </c>
      <c r="D74" s="25" t="s">
        <v>137</v>
      </c>
      <c r="E74" s="16">
        <v>481</v>
      </c>
      <c r="F74" s="30">
        <f t="shared" ref="F74" si="5">IF(C74="","",(C74*E74))</f>
        <v>14911</v>
      </c>
      <c r="H74" s="342">
        <f>1.507*0.797</f>
        <v>1.201079</v>
      </c>
      <c r="I74" s="1">
        <v>400</v>
      </c>
      <c r="J74" s="1">
        <f>H74*I74</f>
        <v>480.4316</v>
      </c>
    </row>
    <row r="75" spans="1:10" x14ac:dyDescent="0.35">
      <c r="A75" s="25"/>
      <c r="B75" s="20"/>
      <c r="C75" s="18"/>
      <c r="D75" s="25"/>
      <c r="E75" s="16"/>
      <c r="F75" s="30"/>
      <c r="H75" s="342"/>
    </row>
    <row r="76" spans="1:10" x14ac:dyDescent="0.35">
      <c r="A76" s="25" t="s">
        <v>197</v>
      </c>
      <c r="B76" s="2" t="s">
        <v>183</v>
      </c>
      <c r="C76" s="18">
        <v>2</v>
      </c>
      <c r="D76" s="25" t="s">
        <v>137</v>
      </c>
      <c r="E76" s="16">
        <v>481</v>
      </c>
      <c r="F76" s="30">
        <f t="shared" ref="F76" si="6">IF(C76="","",(C76*E76))</f>
        <v>962</v>
      </c>
      <c r="H76" s="342">
        <f>1.507*0.797</f>
        <v>1.201079</v>
      </c>
      <c r="I76" s="1">
        <v>400</v>
      </c>
      <c r="J76" s="1">
        <f t="shared" ref="J76:J88" si="7">H76*I76</f>
        <v>480.4316</v>
      </c>
    </row>
    <row r="77" spans="1:10" x14ac:dyDescent="0.35">
      <c r="A77" s="25"/>
      <c r="B77" s="20"/>
      <c r="C77" s="18"/>
      <c r="D77" s="25"/>
      <c r="E77" s="16"/>
      <c r="F77" s="30"/>
      <c r="H77" s="342"/>
    </row>
    <row r="78" spans="1:10" x14ac:dyDescent="0.35">
      <c r="A78" s="25" t="s">
        <v>198</v>
      </c>
      <c r="B78" s="2" t="s">
        <v>184</v>
      </c>
      <c r="C78" s="18">
        <v>2</v>
      </c>
      <c r="D78" s="25" t="s">
        <v>137</v>
      </c>
      <c r="E78" s="16">
        <v>430</v>
      </c>
      <c r="F78" s="30">
        <f t="shared" ref="F78" si="8">IF(C78="","",(C78*E78))</f>
        <v>860</v>
      </c>
      <c r="H78" s="342">
        <f>1.347*0.797</f>
        <v>1.0735589999999999</v>
      </c>
      <c r="I78" s="1">
        <v>400</v>
      </c>
      <c r="J78" s="1">
        <f t="shared" si="7"/>
        <v>429.42359999999996</v>
      </c>
    </row>
    <row r="79" spans="1:10" x14ac:dyDescent="0.35">
      <c r="A79" s="25"/>
      <c r="B79" s="20"/>
      <c r="C79" s="18"/>
      <c r="D79" s="25"/>
      <c r="E79" s="16"/>
      <c r="F79" s="30"/>
      <c r="H79" s="342"/>
    </row>
    <row r="80" spans="1:10" x14ac:dyDescent="0.35">
      <c r="A80" s="25" t="s">
        <v>199</v>
      </c>
      <c r="B80" s="2" t="s">
        <v>185</v>
      </c>
      <c r="C80" s="18">
        <v>8</v>
      </c>
      <c r="D80" s="25" t="s">
        <v>137</v>
      </c>
      <c r="E80" s="16">
        <v>863</v>
      </c>
      <c r="F80" s="30">
        <f t="shared" ref="F80" si="9">IF(C80="","",(C80*E80))</f>
        <v>6904</v>
      </c>
      <c r="H80" s="342">
        <f>1.585*1.36</f>
        <v>2.1556000000000002</v>
      </c>
      <c r="I80" s="1">
        <v>400</v>
      </c>
      <c r="J80" s="1">
        <f t="shared" si="7"/>
        <v>862.24000000000012</v>
      </c>
    </row>
    <row r="81" spans="1:10" x14ac:dyDescent="0.35">
      <c r="A81" s="25"/>
      <c r="B81" s="20"/>
      <c r="C81" s="18"/>
      <c r="D81" s="25"/>
      <c r="E81" s="16"/>
      <c r="F81" s="30"/>
      <c r="H81" s="342"/>
    </row>
    <row r="82" spans="1:10" x14ac:dyDescent="0.35">
      <c r="A82" s="25" t="s">
        <v>200</v>
      </c>
      <c r="B82" s="2" t="s">
        <v>186</v>
      </c>
      <c r="C82" s="18">
        <v>4</v>
      </c>
      <c r="D82" s="25" t="s">
        <v>137</v>
      </c>
      <c r="E82" s="16">
        <v>455</v>
      </c>
      <c r="F82" s="30">
        <f t="shared" ref="F82:F84" si="10">IF(C82="","",(C82*E82))</f>
        <v>1820</v>
      </c>
      <c r="H82" s="342">
        <f>1.023*1.11</f>
        <v>1.1355299999999999</v>
      </c>
      <c r="I82" s="1">
        <v>400</v>
      </c>
      <c r="J82" s="1">
        <f t="shared" si="7"/>
        <v>454.21199999999999</v>
      </c>
    </row>
    <row r="83" spans="1:10" x14ac:dyDescent="0.35">
      <c r="A83" s="25"/>
      <c r="B83" s="2"/>
      <c r="C83" s="18"/>
      <c r="D83" s="25"/>
      <c r="E83" s="16"/>
      <c r="F83" s="30"/>
      <c r="H83" s="342"/>
    </row>
    <row r="84" spans="1:10" x14ac:dyDescent="0.35">
      <c r="A84" s="25" t="s">
        <v>201</v>
      </c>
      <c r="B84" s="2" t="s">
        <v>188</v>
      </c>
      <c r="C84" s="18">
        <v>4</v>
      </c>
      <c r="D84" s="25" t="s">
        <v>137</v>
      </c>
      <c r="E84" s="16">
        <v>455</v>
      </c>
      <c r="F84" s="30">
        <f t="shared" si="10"/>
        <v>1820</v>
      </c>
      <c r="H84" s="342">
        <f>1.023*1.11</f>
        <v>1.1355299999999999</v>
      </c>
      <c r="I84" s="1">
        <v>400</v>
      </c>
      <c r="J84" s="1">
        <f t="shared" si="7"/>
        <v>454.21199999999999</v>
      </c>
    </row>
    <row r="85" spans="1:10" x14ac:dyDescent="0.35">
      <c r="A85" s="25"/>
      <c r="B85" s="20"/>
      <c r="C85" s="18"/>
      <c r="D85" s="25"/>
      <c r="E85" s="16"/>
      <c r="F85" s="30"/>
      <c r="H85" s="342"/>
    </row>
    <row r="86" spans="1:10" x14ac:dyDescent="0.35">
      <c r="A86" s="25"/>
      <c r="B86" s="28" t="s">
        <v>190</v>
      </c>
      <c r="C86" s="18"/>
      <c r="D86" s="25"/>
      <c r="E86" s="16"/>
      <c r="F86" s="30"/>
      <c r="H86" s="342"/>
    </row>
    <row r="87" spans="1:10" x14ac:dyDescent="0.35">
      <c r="A87" s="25"/>
      <c r="B87" s="27"/>
      <c r="C87" s="18"/>
      <c r="D87" s="25"/>
      <c r="E87" s="16"/>
      <c r="F87" s="30"/>
      <c r="H87" s="342"/>
    </row>
    <row r="88" spans="1:10" x14ac:dyDescent="0.35">
      <c r="A88" s="25" t="s">
        <v>202</v>
      </c>
      <c r="B88" s="27" t="s">
        <v>187</v>
      </c>
      <c r="C88" s="18">
        <v>8</v>
      </c>
      <c r="D88" s="25" t="s">
        <v>137</v>
      </c>
      <c r="E88" s="16">
        <v>1528</v>
      </c>
      <c r="F88" s="30">
        <f t="shared" ref="F88" si="11">IF(C88="","",(C88*E88))</f>
        <v>12224</v>
      </c>
      <c r="H88" s="342">
        <f>1.81*2.11</f>
        <v>3.8190999999999997</v>
      </c>
      <c r="I88" s="1">
        <v>400</v>
      </c>
      <c r="J88" s="1">
        <f t="shared" si="7"/>
        <v>1527.6399999999999</v>
      </c>
    </row>
    <row r="89" spans="1:10" x14ac:dyDescent="0.35">
      <c r="A89" s="25"/>
      <c r="B89" s="27"/>
      <c r="C89" s="18"/>
      <c r="D89" s="25"/>
      <c r="E89" s="16"/>
      <c r="F89" s="30"/>
      <c r="H89" s="342"/>
    </row>
    <row r="90" spans="1:10" x14ac:dyDescent="0.35">
      <c r="A90" s="25"/>
      <c r="B90" s="27"/>
      <c r="C90" s="18"/>
      <c r="D90" s="25"/>
      <c r="E90" s="16"/>
      <c r="F90" s="30"/>
    </row>
    <row r="91" spans="1:10" x14ac:dyDescent="0.35">
      <c r="A91" s="4"/>
      <c r="B91" s="6"/>
      <c r="C91" s="6"/>
      <c r="D91" s="23"/>
      <c r="E91" s="6"/>
      <c r="F91" s="31"/>
    </row>
    <row r="92" spans="1:10" x14ac:dyDescent="0.35">
      <c r="A92" s="7"/>
      <c r="B92" s="9"/>
      <c r="C92" s="9" t="s">
        <v>21</v>
      </c>
      <c r="D92" s="21"/>
      <c r="E92" s="9"/>
      <c r="F92" s="33">
        <f>SUM(F61:F90)</f>
        <v>40294.5</v>
      </c>
    </row>
    <row r="93" spans="1:10" x14ac:dyDescent="0.35">
      <c r="A93" s="10"/>
      <c r="B93" s="12"/>
      <c r="C93" s="12"/>
      <c r="D93" s="24"/>
      <c r="E93" s="12"/>
      <c r="F93" s="34"/>
    </row>
  </sheetData>
  <phoneticPr fontId="6" type="noConversion"/>
  <pageMargins left="0.55118110236220474" right="0.19685039370078741" top="0.35433070866141736" bottom="0.55118110236220474" header="0.19685039370078741" footer="0.39370078740157483"/>
  <pageSetup paperSize="9" scale="68" orientation="portrait" r:id="rId1"/>
  <headerFooter alignWithMargins="0">
    <oddFooter>&amp;C&amp;"Times New Roman,Regular"Page 5/&amp;P</oddFooter>
  </headerFooter>
  <rowBreaks count="1" manualBreakCount="1">
    <brk id="60"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7"/>
  <sheetViews>
    <sheetView view="pageBreakPreview" zoomScaleNormal="100" zoomScaleSheetLayoutView="100" zoomScalePageLayoutView="78" workbookViewId="0">
      <selection activeCell="E80" sqref="E80"/>
    </sheetView>
  </sheetViews>
  <sheetFormatPr defaultColWidth="9.1328125" defaultRowHeight="15.4" x14ac:dyDescent="0.45"/>
  <cols>
    <col min="1" max="1" width="6.53125" style="1" customWidth="1"/>
    <col min="2" max="2" width="55.1328125" style="1" customWidth="1"/>
    <col min="3" max="3" width="11" style="155" customWidth="1"/>
    <col min="4" max="4" width="7.46484375" style="156" customWidth="1"/>
    <col min="5" max="5" width="11.19921875" style="205" bestFit="1" customWidth="1"/>
    <col min="6" max="6" width="15" style="200" customWidth="1"/>
    <col min="7" max="7" width="24.46484375" style="1" customWidth="1"/>
    <col min="8" max="16384" width="9.1328125" style="1"/>
  </cols>
  <sheetData>
    <row r="1" spans="1:7" x14ac:dyDescent="0.45">
      <c r="A1" s="4"/>
      <c r="B1" s="5"/>
      <c r="C1" s="137"/>
      <c r="D1" s="138"/>
      <c r="E1" s="295"/>
      <c r="F1" s="185"/>
    </row>
    <row r="2" spans="1:7" x14ac:dyDescent="0.4">
      <c r="A2" s="101" t="str">
        <f>'02 Plot Groundworks'!A2</f>
        <v>The Former Police Station, Haslingden</v>
      </c>
      <c r="B2" s="14"/>
      <c r="C2" s="139"/>
      <c r="D2" s="140" t="s">
        <v>143</v>
      </c>
      <c r="E2" s="296"/>
      <c r="F2" s="187" t="s">
        <v>7</v>
      </c>
    </row>
    <row r="3" spans="1:7" x14ac:dyDescent="0.45">
      <c r="A3" s="13" t="s">
        <v>32</v>
      </c>
      <c r="B3" s="8"/>
      <c r="C3" s="141"/>
      <c r="D3" s="140" t="s">
        <v>144</v>
      </c>
      <c r="E3" s="297"/>
      <c r="F3" s="199"/>
    </row>
    <row r="4" spans="1:7" ht="17.25" customHeight="1" x14ac:dyDescent="0.3">
      <c r="A4" s="29"/>
      <c r="B4" s="3" t="s">
        <v>22</v>
      </c>
      <c r="C4" s="142" t="s">
        <v>26</v>
      </c>
      <c r="D4" s="142" t="s">
        <v>23</v>
      </c>
      <c r="E4" s="298" t="s">
        <v>24</v>
      </c>
      <c r="F4" s="157" t="s">
        <v>25</v>
      </c>
      <c r="G4" s="178" t="s">
        <v>118</v>
      </c>
    </row>
    <row r="5" spans="1:7" x14ac:dyDescent="0.45">
      <c r="A5" s="25"/>
      <c r="B5" s="43" t="s">
        <v>139</v>
      </c>
      <c r="C5" s="135"/>
      <c r="D5" s="136"/>
      <c r="E5" s="247"/>
      <c r="F5" s="192"/>
    </row>
    <row r="6" spans="1:7" x14ac:dyDescent="0.45">
      <c r="A6" s="25"/>
      <c r="B6" s="43"/>
      <c r="C6" s="135"/>
      <c r="D6" s="136"/>
      <c r="E6" s="247"/>
      <c r="F6" s="192"/>
    </row>
    <row r="7" spans="1:7" ht="30.75" x14ac:dyDescent="0.45">
      <c r="A7" s="25" t="s">
        <v>9</v>
      </c>
      <c r="B7" s="27" t="s">
        <v>145</v>
      </c>
      <c r="C7" s="135">
        <v>256</v>
      </c>
      <c r="D7" s="136" t="s">
        <v>42</v>
      </c>
      <c r="E7" s="247">
        <v>55</v>
      </c>
      <c r="F7" s="192">
        <f t="shared" ref="F7:F41" si="0">IF(C7="","",(C7*E7))</f>
        <v>14080</v>
      </c>
    </row>
    <row r="8" spans="1:7" x14ac:dyDescent="0.45">
      <c r="A8" s="25"/>
      <c r="B8" s="2"/>
      <c r="C8" s="135"/>
      <c r="D8" s="314"/>
      <c r="E8" s="247"/>
      <c r="F8" s="192" t="str">
        <f t="shared" si="0"/>
        <v/>
      </c>
    </row>
    <row r="9" spans="1:7" ht="15.95" customHeight="1" x14ac:dyDescent="0.45">
      <c r="A9" s="25"/>
      <c r="B9" s="19" t="s">
        <v>40</v>
      </c>
      <c r="C9" s="135"/>
      <c r="D9" s="314"/>
      <c r="E9" s="247"/>
      <c r="F9" s="192" t="str">
        <f t="shared" si="0"/>
        <v/>
      </c>
    </row>
    <row r="10" spans="1:7" x14ac:dyDescent="0.45">
      <c r="A10" s="25"/>
      <c r="B10" s="2"/>
      <c r="C10" s="151"/>
      <c r="D10" s="314"/>
      <c r="E10" s="246"/>
      <c r="F10" s="192" t="str">
        <f t="shared" si="0"/>
        <v/>
      </c>
    </row>
    <row r="11" spans="1:7" ht="15.6" customHeight="1" x14ac:dyDescent="0.45">
      <c r="A11" s="25" t="s">
        <v>10</v>
      </c>
      <c r="B11" s="2" t="s">
        <v>146</v>
      </c>
      <c r="C11" s="151"/>
      <c r="D11" s="314" t="s">
        <v>42</v>
      </c>
      <c r="E11" s="246"/>
      <c r="F11" s="192" t="str">
        <f t="shared" si="0"/>
        <v/>
      </c>
    </row>
    <row r="12" spans="1:7" x14ac:dyDescent="0.45">
      <c r="A12" s="25"/>
      <c r="B12" s="2"/>
      <c r="C12" s="135"/>
      <c r="D12" s="314"/>
      <c r="E12" s="247"/>
      <c r="F12" s="192" t="str">
        <f t="shared" si="0"/>
        <v/>
      </c>
    </row>
    <row r="13" spans="1:7" x14ac:dyDescent="0.45">
      <c r="A13" s="25" t="s">
        <v>11</v>
      </c>
      <c r="B13" s="2" t="s">
        <v>147</v>
      </c>
      <c r="C13" s="135">
        <f>((43*6)*2)+(29*4.49)</f>
        <v>646.21</v>
      </c>
      <c r="D13" s="314" t="s">
        <v>42</v>
      </c>
      <c r="E13" s="247">
        <v>12.5</v>
      </c>
      <c r="F13" s="192">
        <f t="shared" si="0"/>
        <v>8077.625</v>
      </c>
    </row>
    <row r="14" spans="1:7" x14ac:dyDescent="0.45">
      <c r="A14" s="25"/>
      <c r="B14" s="2"/>
      <c r="C14" s="135"/>
      <c r="D14" s="314"/>
      <c r="E14" s="247"/>
      <c r="F14" s="192" t="str">
        <f t="shared" si="0"/>
        <v/>
      </c>
    </row>
    <row r="15" spans="1:7" ht="30.75" x14ac:dyDescent="0.45">
      <c r="A15" s="25" t="s">
        <v>12</v>
      </c>
      <c r="B15" s="2" t="s">
        <v>148</v>
      </c>
      <c r="C15" s="135">
        <f>3.9*29</f>
        <v>113.1</v>
      </c>
      <c r="D15" s="314" t="s">
        <v>42</v>
      </c>
      <c r="E15" s="247">
        <v>70</v>
      </c>
      <c r="F15" s="192">
        <f t="shared" si="0"/>
        <v>7917</v>
      </c>
    </row>
    <row r="16" spans="1:7" x14ac:dyDescent="0.45">
      <c r="A16" s="25"/>
      <c r="B16" s="2"/>
      <c r="C16" s="135"/>
      <c r="D16" s="314"/>
      <c r="E16" s="247"/>
      <c r="F16" s="192" t="str">
        <f t="shared" si="0"/>
        <v/>
      </c>
    </row>
    <row r="17" spans="1:6" x14ac:dyDescent="0.45">
      <c r="A17" s="25" t="s">
        <v>149</v>
      </c>
      <c r="B17" s="2" t="s">
        <v>150</v>
      </c>
      <c r="C17" s="135">
        <f>(2.13+4.37+5.34)*6</f>
        <v>71.039999999999992</v>
      </c>
      <c r="D17" s="314" t="s">
        <v>42</v>
      </c>
      <c r="E17" s="247">
        <v>7.25</v>
      </c>
      <c r="F17" s="192">
        <f t="shared" si="0"/>
        <v>515.04</v>
      </c>
    </row>
    <row r="18" spans="1:6" x14ac:dyDescent="0.45">
      <c r="A18" s="25"/>
      <c r="B18" s="2"/>
      <c r="C18" s="135"/>
      <c r="D18" s="314"/>
      <c r="E18" s="247"/>
      <c r="F18" s="192" t="str">
        <f t="shared" si="0"/>
        <v/>
      </c>
    </row>
    <row r="19" spans="1:6" x14ac:dyDescent="0.45">
      <c r="A19" s="25" t="s">
        <v>14</v>
      </c>
      <c r="B19" s="2" t="s">
        <v>161</v>
      </c>
      <c r="C19" s="135">
        <f>C15+C13</f>
        <v>759.31000000000006</v>
      </c>
      <c r="D19" s="314" t="s">
        <v>42</v>
      </c>
      <c r="E19" s="247">
        <v>6</v>
      </c>
      <c r="F19" s="192">
        <f t="shared" si="0"/>
        <v>4555.8600000000006</v>
      </c>
    </row>
    <row r="20" spans="1:6" x14ac:dyDescent="0.45">
      <c r="A20" s="25"/>
      <c r="B20" s="2"/>
      <c r="C20" s="135"/>
      <c r="D20" s="314"/>
      <c r="E20" s="247"/>
      <c r="F20" s="192"/>
    </row>
    <row r="21" spans="1:6" ht="15.6" customHeight="1" x14ac:dyDescent="0.45">
      <c r="A21" s="25" t="s">
        <v>15</v>
      </c>
      <c r="B21" s="2" t="s">
        <v>151</v>
      </c>
      <c r="C21" s="135">
        <f>C15+C13</f>
        <v>759.31000000000006</v>
      </c>
      <c r="D21" s="314" t="s">
        <v>42</v>
      </c>
      <c r="E21" s="247">
        <v>7</v>
      </c>
      <c r="F21" s="192">
        <f t="shared" si="0"/>
        <v>5315.17</v>
      </c>
    </row>
    <row r="22" spans="1:6" ht="16.5" customHeight="1" x14ac:dyDescent="0.45">
      <c r="A22" s="25"/>
      <c r="B22" s="28"/>
      <c r="C22" s="135"/>
      <c r="D22" s="314"/>
      <c r="E22" s="247"/>
      <c r="F22" s="192" t="str">
        <f t="shared" si="0"/>
        <v/>
      </c>
    </row>
    <row r="23" spans="1:6" ht="16.5" customHeight="1" x14ac:dyDescent="0.45">
      <c r="A23" s="25"/>
      <c r="B23" s="28" t="s">
        <v>152</v>
      </c>
      <c r="C23" s="135"/>
      <c r="D23" s="314"/>
      <c r="E23" s="247"/>
      <c r="F23" s="192" t="str">
        <f t="shared" si="0"/>
        <v/>
      </c>
    </row>
    <row r="24" spans="1:6" x14ac:dyDescent="0.45">
      <c r="A24" s="25"/>
      <c r="B24" s="2"/>
      <c r="C24" s="135"/>
      <c r="D24" s="314"/>
      <c r="E24" s="247"/>
      <c r="F24" s="192" t="str">
        <f t="shared" si="0"/>
        <v/>
      </c>
    </row>
    <row r="25" spans="1:6" x14ac:dyDescent="0.45">
      <c r="A25" s="25" t="s">
        <v>16</v>
      </c>
      <c r="B25" s="27" t="s">
        <v>153</v>
      </c>
      <c r="C25" s="135">
        <f>((58*2.5)*6)</f>
        <v>870</v>
      </c>
      <c r="D25" s="314" t="s">
        <v>42</v>
      </c>
      <c r="E25" s="247">
        <v>11.6</v>
      </c>
      <c r="F25" s="192">
        <f t="shared" si="0"/>
        <v>10092</v>
      </c>
    </row>
    <row r="26" spans="1:6" x14ac:dyDescent="0.45">
      <c r="A26" s="25"/>
      <c r="B26" s="19"/>
      <c r="C26" s="135"/>
      <c r="D26" s="314"/>
      <c r="E26" s="247"/>
      <c r="F26" s="192" t="str">
        <f t="shared" si="0"/>
        <v/>
      </c>
    </row>
    <row r="27" spans="1:6" x14ac:dyDescent="0.45">
      <c r="A27" s="25" t="s">
        <v>124</v>
      </c>
      <c r="B27" s="2" t="s">
        <v>154</v>
      </c>
      <c r="C27" s="134">
        <f>(29*2.5)*6</f>
        <v>435</v>
      </c>
      <c r="D27" s="314" t="s">
        <v>42</v>
      </c>
      <c r="E27" s="247">
        <v>11.6</v>
      </c>
      <c r="F27" s="192">
        <f t="shared" si="0"/>
        <v>5046</v>
      </c>
    </row>
    <row r="28" spans="1:6" ht="15" customHeight="1" x14ac:dyDescent="0.45">
      <c r="A28" s="25"/>
      <c r="B28" s="80"/>
      <c r="C28" s="135"/>
      <c r="D28" s="314"/>
      <c r="E28" s="247"/>
      <c r="F28" s="192" t="str">
        <f t="shared" si="0"/>
        <v/>
      </c>
    </row>
    <row r="29" spans="1:6" ht="30.75" x14ac:dyDescent="0.45">
      <c r="A29" s="25" t="s">
        <v>17</v>
      </c>
      <c r="B29" s="2" t="s">
        <v>155</v>
      </c>
      <c r="C29" s="135"/>
      <c r="D29" s="314" t="s">
        <v>42</v>
      </c>
      <c r="E29" s="247"/>
      <c r="F29" s="192" t="str">
        <f t="shared" si="0"/>
        <v/>
      </c>
    </row>
    <row r="30" spans="1:6" ht="12.75" customHeight="1" x14ac:dyDescent="0.45">
      <c r="A30" s="78"/>
      <c r="B30" s="79"/>
      <c r="C30" s="172"/>
      <c r="D30" s="314"/>
      <c r="E30" s="299"/>
      <c r="F30" s="192" t="str">
        <f t="shared" si="0"/>
        <v/>
      </c>
    </row>
    <row r="31" spans="1:6" ht="30.75" x14ac:dyDescent="0.45">
      <c r="A31" s="25" t="s">
        <v>18</v>
      </c>
      <c r="B31" s="2" t="s">
        <v>177</v>
      </c>
      <c r="C31" s="321"/>
      <c r="D31" s="314" t="s">
        <v>42</v>
      </c>
      <c r="E31" s="299"/>
      <c r="F31" s="192" t="str">
        <f t="shared" si="0"/>
        <v/>
      </c>
    </row>
    <row r="32" spans="1:6" ht="12.75" customHeight="1" x14ac:dyDescent="0.45">
      <c r="A32" s="78"/>
      <c r="B32" s="79"/>
      <c r="C32" s="172"/>
      <c r="D32" s="314"/>
      <c r="E32" s="299"/>
      <c r="F32" s="192" t="str">
        <f t="shared" si="0"/>
        <v/>
      </c>
    </row>
    <row r="33" spans="1:6" ht="30.75" x14ac:dyDescent="0.45">
      <c r="A33" s="25" t="s">
        <v>19</v>
      </c>
      <c r="B33" s="2" t="s">
        <v>157</v>
      </c>
      <c r="C33" s="321">
        <f>((17*2.5)*6)+((13*2.5)*6)</f>
        <v>450</v>
      </c>
      <c r="D33" s="314" t="s">
        <v>42</v>
      </c>
      <c r="E33" s="247">
        <v>11.52</v>
      </c>
      <c r="F33" s="192">
        <f t="shared" si="0"/>
        <v>5184</v>
      </c>
    </row>
    <row r="34" spans="1:6" ht="12.75" customHeight="1" x14ac:dyDescent="0.45">
      <c r="A34" s="25"/>
      <c r="B34" s="79"/>
      <c r="C34" s="172"/>
      <c r="D34" s="314"/>
      <c r="E34" s="247"/>
      <c r="F34" s="192" t="str">
        <f t="shared" si="0"/>
        <v/>
      </c>
    </row>
    <row r="35" spans="1:6" ht="30.75" x14ac:dyDescent="0.45">
      <c r="A35" s="25" t="s">
        <v>4</v>
      </c>
      <c r="B35" s="2" t="s">
        <v>158</v>
      </c>
      <c r="C35" s="135">
        <f>12.76*6</f>
        <v>76.56</v>
      </c>
      <c r="D35" s="314" t="s">
        <v>42</v>
      </c>
      <c r="E35" s="247">
        <v>11.52</v>
      </c>
      <c r="F35" s="192">
        <f t="shared" si="0"/>
        <v>881.97119999999995</v>
      </c>
    </row>
    <row r="36" spans="1:6" ht="12.75" customHeight="1" x14ac:dyDescent="0.45">
      <c r="A36" s="78"/>
      <c r="B36" s="79"/>
      <c r="C36" s="172"/>
      <c r="D36" s="314"/>
      <c r="E36" s="299"/>
      <c r="F36" s="192" t="str">
        <f t="shared" si="0"/>
        <v/>
      </c>
    </row>
    <row r="37" spans="1:6" ht="16.5" customHeight="1" x14ac:dyDescent="0.45">
      <c r="A37" s="25" t="s">
        <v>37</v>
      </c>
      <c r="B37" s="2" t="s">
        <v>159</v>
      </c>
      <c r="C37" s="135"/>
      <c r="D37" s="314" t="s">
        <v>42</v>
      </c>
      <c r="E37" s="247"/>
      <c r="F37" s="192" t="str">
        <f t="shared" si="0"/>
        <v/>
      </c>
    </row>
    <row r="38" spans="1:6" x14ac:dyDescent="0.45">
      <c r="A38" s="25"/>
      <c r="B38" s="94"/>
      <c r="C38" s="135"/>
      <c r="D38" s="314"/>
      <c r="E38" s="247"/>
      <c r="F38" s="192" t="str">
        <f t="shared" si="0"/>
        <v/>
      </c>
    </row>
    <row r="39" spans="1:6" x14ac:dyDescent="0.45">
      <c r="A39" s="25" t="s">
        <v>105</v>
      </c>
      <c r="B39" s="2" t="s">
        <v>160</v>
      </c>
      <c r="C39" s="135">
        <f>(((9*2.5)+0.66)*6)+((6.25*2.5)*6)+((9.25*2.5)*6)</f>
        <v>371.46000000000004</v>
      </c>
      <c r="D39" s="314" t="s">
        <v>42</v>
      </c>
      <c r="E39" s="247">
        <v>7.25</v>
      </c>
      <c r="F39" s="192">
        <f t="shared" si="0"/>
        <v>2693.085</v>
      </c>
    </row>
    <row r="40" spans="1:6" x14ac:dyDescent="0.45">
      <c r="A40" s="25"/>
      <c r="B40" s="80"/>
      <c r="C40" s="135"/>
      <c r="D40" s="314"/>
      <c r="E40" s="247"/>
      <c r="F40" s="192" t="str">
        <f t="shared" si="0"/>
        <v/>
      </c>
    </row>
    <row r="41" spans="1:6" x14ac:dyDescent="0.45">
      <c r="A41" s="25" t="s">
        <v>106</v>
      </c>
      <c r="B41" s="2" t="s">
        <v>161</v>
      </c>
      <c r="C41" s="135">
        <f>C35+C33+C27+C25</f>
        <v>1831.56</v>
      </c>
      <c r="D41" s="314" t="s">
        <v>42</v>
      </c>
      <c r="E41" s="247">
        <v>6</v>
      </c>
      <c r="F41" s="192">
        <f t="shared" si="0"/>
        <v>10989.36</v>
      </c>
    </row>
    <row r="42" spans="1:6" ht="15.75" customHeight="1" x14ac:dyDescent="0.45">
      <c r="A42" s="25"/>
      <c r="B42" s="80"/>
      <c r="C42" s="135"/>
      <c r="D42" s="314"/>
      <c r="E42" s="247"/>
      <c r="F42" s="192" t="str">
        <f>IF(C42="","",(C42*E42))</f>
        <v/>
      </c>
    </row>
    <row r="43" spans="1:6" x14ac:dyDescent="0.45">
      <c r="A43" s="38"/>
      <c r="B43" s="6"/>
      <c r="C43" s="143"/>
      <c r="D43" s="144"/>
      <c r="E43" s="300"/>
      <c r="F43" s="185"/>
    </row>
    <row r="44" spans="1:6" x14ac:dyDescent="0.45">
      <c r="A44" s="39"/>
      <c r="B44" s="9"/>
      <c r="C44" s="145"/>
      <c r="D44" s="146" t="s">
        <v>27</v>
      </c>
      <c r="E44" s="301" t="s">
        <v>20</v>
      </c>
      <c r="F44" s="199">
        <f>SUM(F5:F43)</f>
        <v>75347.111199999999</v>
      </c>
    </row>
    <row r="45" spans="1:6" x14ac:dyDescent="0.45">
      <c r="A45" s="41"/>
      <c r="B45" s="12"/>
      <c r="C45" s="147"/>
      <c r="D45" s="148"/>
      <c r="E45" s="302"/>
      <c r="F45" s="189"/>
    </row>
    <row r="46" spans="1:6" x14ac:dyDescent="0.45">
      <c r="A46" s="25"/>
      <c r="B46" s="94"/>
      <c r="C46" s="135"/>
      <c r="D46" s="136"/>
      <c r="E46" s="247"/>
      <c r="F46" s="192"/>
    </row>
    <row r="47" spans="1:6" x14ac:dyDescent="0.45">
      <c r="A47" s="25" t="s">
        <v>107</v>
      </c>
      <c r="B47" s="2" t="s">
        <v>162</v>
      </c>
      <c r="C47" s="135">
        <f>C41</f>
        <v>1831.56</v>
      </c>
      <c r="D47" s="136" t="s">
        <v>42</v>
      </c>
      <c r="E47" s="247">
        <v>7</v>
      </c>
      <c r="F47" s="192">
        <f t="shared" ref="F47:F71" si="1">IF(C47="","",(C47*E47))</f>
        <v>12820.92</v>
      </c>
    </row>
    <row r="48" spans="1:6" x14ac:dyDescent="0.45">
      <c r="A48" s="25"/>
      <c r="B48" s="22"/>
      <c r="C48" s="135"/>
      <c r="D48" s="136"/>
      <c r="E48" s="247"/>
      <c r="F48" s="192" t="str">
        <f t="shared" si="1"/>
        <v/>
      </c>
    </row>
    <row r="49" spans="1:6" x14ac:dyDescent="0.45">
      <c r="A49" s="25"/>
      <c r="B49" s="19" t="s">
        <v>163</v>
      </c>
      <c r="C49" s="135"/>
      <c r="D49" s="136"/>
      <c r="E49" s="247"/>
      <c r="F49" s="192" t="str">
        <f t="shared" si="1"/>
        <v/>
      </c>
    </row>
    <row r="50" spans="1:6" x14ac:dyDescent="0.45">
      <c r="A50" s="25"/>
      <c r="B50" s="27"/>
      <c r="C50" s="135"/>
      <c r="D50" s="136"/>
      <c r="E50" s="247"/>
      <c r="F50" s="192" t="str">
        <f t="shared" si="1"/>
        <v/>
      </c>
    </row>
    <row r="51" spans="1:6" x14ac:dyDescent="0.45">
      <c r="A51" s="25" t="s">
        <v>108</v>
      </c>
      <c r="B51" s="2" t="s">
        <v>164</v>
      </c>
      <c r="C51" s="135">
        <f>C7*2</f>
        <v>512</v>
      </c>
      <c r="D51" s="136" t="s">
        <v>42</v>
      </c>
      <c r="E51" s="247">
        <v>5</v>
      </c>
      <c r="F51" s="192">
        <f t="shared" si="1"/>
        <v>2560</v>
      </c>
    </row>
    <row r="52" spans="1:6" ht="15.6" customHeight="1" x14ac:dyDescent="0.45">
      <c r="A52" s="25"/>
      <c r="B52" s="2"/>
      <c r="C52" s="151"/>
      <c r="D52" s="136"/>
      <c r="E52" s="247"/>
      <c r="F52" s="192" t="str">
        <f t="shared" si="1"/>
        <v/>
      </c>
    </row>
    <row r="53" spans="1:6" x14ac:dyDescent="0.45">
      <c r="A53" s="25" t="s">
        <v>109</v>
      </c>
      <c r="B53" s="2" t="s">
        <v>165</v>
      </c>
      <c r="C53" s="135">
        <f>29*4.49</f>
        <v>130.21</v>
      </c>
      <c r="D53" s="136" t="s">
        <v>42</v>
      </c>
      <c r="E53" s="247">
        <v>16.8</v>
      </c>
      <c r="F53" s="192">
        <f t="shared" si="1"/>
        <v>2187.5280000000002</v>
      </c>
    </row>
    <row r="54" spans="1:6" ht="15" customHeight="1" x14ac:dyDescent="0.45">
      <c r="A54" s="25"/>
      <c r="B54" s="2"/>
      <c r="C54" s="151"/>
      <c r="D54" s="152"/>
      <c r="E54" s="246"/>
      <c r="F54" s="192" t="str">
        <f t="shared" si="1"/>
        <v/>
      </c>
    </row>
    <row r="55" spans="1:6" x14ac:dyDescent="0.45">
      <c r="A55" s="25"/>
      <c r="B55" s="19" t="s">
        <v>166</v>
      </c>
      <c r="C55" s="135"/>
      <c r="D55" s="136"/>
      <c r="E55" s="311"/>
      <c r="F55" s="192" t="str">
        <f t="shared" si="1"/>
        <v/>
      </c>
    </row>
    <row r="56" spans="1:6" x14ac:dyDescent="0.45">
      <c r="A56" s="25"/>
      <c r="B56" s="2"/>
      <c r="C56" s="135"/>
      <c r="D56" s="136"/>
      <c r="E56" s="311"/>
      <c r="F56" s="192" t="str">
        <f t="shared" si="1"/>
        <v/>
      </c>
    </row>
    <row r="57" spans="1:6" ht="15.75" customHeight="1" x14ac:dyDescent="0.45">
      <c r="A57" s="25"/>
      <c r="B57" s="2" t="s">
        <v>167</v>
      </c>
      <c r="C57" s="135"/>
      <c r="D57" s="136"/>
      <c r="E57" s="311"/>
      <c r="F57" s="192" t="str">
        <f t="shared" si="1"/>
        <v/>
      </c>
    </row>
    <row r="58" spans="1:6" x14ac:dyDescent="0.45">
      <c r="A58" s="25" t="s">
        <v>110</v>
      </c>
      <c r="B58" s="2" t="s">
        <v>168</v>
      </c>
      <c r="C58" s="135">
        <v>6</v>
      </c>
      <c r="D58" s="136" t="s">
        <v>137</v>
      </c>
      <c r="E58" s="249">
        <v>135</v>
      </c>
      <c r="F58" s="192">
        <f t="shared" si="1"/>
        <v>810</v>
      </c>
    </row>
    <row r="59" spans="1:6" x14ac:dyDescent="0.45">
      <c r="A59" s="25" t="s">
        <v>111</v>
      </c>
      <c r="B59" s="2" t="s">
        <v>169</v>
      </c>
      <c r="C59" s="135">
        <v>6</v>
      </c>
      <c r="D59" s="136" t="s">
        <v>137</v>
      </c>
      <c r="E59" s="249">
        <v>135</v>
      </c>
      <c r="F59" s="192">
        <f t="shared" si="1"/>
        <v>810</v>
      </c>
    </row>
    <row r="60" spans="1:6" x14ac:dyDescent="0.45">
      <c r="A60" s="25"/>
      <c r="B60" s="2"/>
      <c r="C60" s="135"/>
      <c r="D60" s="136"/>
      <c r="E60" s="249"/>
      <c r="F60" s="192" t="str">
        <f t="shared" si="1"/>
        <v/>
      </c>
    </row>
    <row r="61" spans="1:6" ht="15.75" customHeight="1" x14ac:dyDescent="0.45">
      <c r="A61" s="25" t="s">
        <v>112</v>
      </c>
      <c r="B61" s="2" t="s">
        <v>170</v>
      </c>
      <c r="C61" s="135">
        <v>12</v>
      </c>
      <c r="D61" s="136" t="s">
        <v>137</v>
      </c>
      <c r="E61" s="249">
        <v>135</v>
      </c>
      <c r="F61" s="192">
        <f t="shared" si="1"/>
        <v>1620</v>
      </c>
    </row>
    <row r="62" spans="1:6" ht="15.75" customHeight="1" x14ac:dyDescent="0.45">
      <c r="A62" s="25"/>
      <c r="B62" s="2"/>
      <c r="C62" s="135"/>
      <c r="D62" s="136"/>
      <c r="E62" s="249"/>
      <c r="F62" s="192" t="str">
        <f t="shared" si="1"/>
        <v/>
      </c>
    </row>
    <row r="63" spans="1:6" ht="15.75" customHeight="1" x14ac:dyDescent="0.45">
      <c r="A63" s="25" t="s">
        <v>191</v>
      </c>
      <c r="B63" s="2" t="s">
        <v>171</v>
      </c>
      <c r="C63" s="135">
        <v>6</v>
      </c>
      <c r="D63" s="136" t="s">
        <v>137</v>
      </c>
      <c r="E63" s="249">
        <v>135</v>
      </c>
      <c r="F63" s="192">
        <f t="shared" si="1"/>
        <v>810</v>
      </c>
    </row>
    <row r="64" spans="1:6" x14ac:dyDescent="0.45">
      <c r="A64" s="25" t="s">
        <v>192</v>
      </c>
      <c r="B64" s="2" t="s">
        <v>172</v>
      </c>
      <c r="C64" s="135"/>
      <c r="D64" s="136" t="s">
        <v>137</v>
      </c>
      <c r="E64" s="311"/>
      <c r="F64" s="192" t="str">
        <f t="shared" si="1"/>
        <v/>
      </c>
    </row>
    <row r="65" spans="1:6" x14ac:dyDescent="0.45">
      <c r="A65" s="25" t="s">
        <v>193</v>
      </c>
      <c r="B65" s="2" t="s">
        <v>173</v>
      </c>
      <c r="C65" s="135">
        <v>18</v>
      </c>
      <c r="D65" s="136" t="s">
        <v>137</v>
      </c>
      <c r="E65" s="247">
        <v>250</v>
      </c>
      <c r="F65" s="192">
        <f t="shared" si="1"/>
        <v>4500</v>
      </c>
    </row>
    <row r="66" spans="1:6" x14ac:dyDescent="0.45">
      <c r="A66" s="25"/>
      <c r="B66" s="27"/>
      <c r="C66" s="135"/>
      <c r="D66" s="136"/>
      <c r="E66" s="247"/>
      <c r="F66" s="192" t="str">
        <f t="shared" si="1"/>
        <v/>
      </c>
    </row>
    <row r="67" spans="1:6" x14ac:dyDescent="0.45">
      <c r="A67" s="25" t="s">
        <v>194</v>
      </c>
      <c r="B67" s="2" t="s">
        <v>174</v>
      </c>
      <c r="C67" s="135">
        <v>6</v>
      </c>
      <c r="D67" s="136" t="s">
        <v>137</v>
      </c>
      <c r="E67" s="247">
        <v>300</v>
      </c>
      <c r="F67" s="192">
        <f t="shared" si="1"/>
        <v>1800</v>
      </c>
    </row>
    <row r="68" spans="1:6" x14ac:dyDescent="0.45">
      <c r="A68" s="25"/>
      <c r="B68" s="19"/>
      <c r="C68" s="135"/>
      <c r="D68" s="136"/>
      <c r="E68" s="247"/>
      <c r="F68" s="192" t="str">
        <f t="shared" si="1"/>
        <v/>
      </c>
    </row>
    <row r="69" spans="1:6" x14ac:dyDescent="0.45">
      <c r="A69" s="25"/>
      <c r="B69" s="19" t="s">
        <v>175</v>
      </c>
      <c r="C69" s="135"/>
      <c r="D69" s="136"/>
      <c r="E69" s="247"/>
      <c r="F69" s="192" t="str">
        <f t="shared" si="1"/>
        <v/>
      </c>
    </row>
    <row r="70" spans="1:6" ht="12.95" customHeight="1" x14ac:dyDescent="0.45">
      <c r="A70" s="2"/>
      <c r="B70" s="94"/>
      <c r="C70" s="181"/>
      <c r="D70" s="181"/>
      <c r="E70" s="247"/>
      <c r="F70" s="192" t="str">
        <f t="shared" si="1"/>
        <v/>
      </c>
    </row>
    <row r="71" spans="1:6" x14ac:dyDescent="0.45">
      <c r="A71" s="25" t="s">
        <v>195</v>
      </c>
      <c r="B71" s="2" t="s">
        <v>176</v>
      </c>
      <c r="C71" s="135">
        <v>123</v>
      </c>
      <c r="D71" s="136" t="s">
        <v>42</v>
      </c>
      <c r="E71" s="247">
        <v>55</v>
      </c>
      <c r="F71" s="192">
        <f t="shared" si="1"/>
        <v>6765</v>
      </c>
    </row>
    <row r="72" spans="1:6" x14ac:dyDescent="0.45">
      <c r="A72" s="83"/>
      <c r="B72" s="128"/>
      <c r="C72" s="170"/>
      <c r="D72" s="165"/>
      <c r="E72" s="303"/>
      <c r="F72" s="195"/>
    </row>
    <row r="73" spans="1:6" x14ac:dyDescent="0.45">
      <c r="A73" s="38"/>
      <c r="B73" s="6"/>
      <c r="C73" s="143"/>
      <c r="D73" s="144"/>
      <c r="E73" s="300"/>
      <c r="F73" s="185"/>
    </row>
    <row r="74" spans="1:6" x14ac:dyDescent="0.45">
      <c r="A74" s="39"/>
      <c r="B74" s="9"/>
      <c r="C74" s="145"/>
      <c r="D74" s="146" t="s">
        <v>27</v>
      </c>
      <c r="E74" s="301" t="s">
        <v>20</v>
      </c>
      <c r="F74" s="199">
        <f>SUM(F46:F73)</f>
        <v>34683.448000000004</v>
      </c>
    </row>
    <row r="75" spans="1:6" x14ac:dyDescent="0.45">
      <c r="A75" s="41"/>
      <c r="B75" s="12"/>
      <c r="C75" s="147"/>
      <c r="D75" s="148"/>
      <c r="E75" s="302"/>
      <c r="F75" s="189"/>
    </row>
    <row r="76" spans="1:6" x14ac:dyDescent="0.45">
      <c r="A76" s="25"/>
      <c r="C76" s="181"/>
      <c r="D76" s="181"/>
      <c r="E76" s="247"/>
      <c r="F76" s="181"/>
    </row>
    <row r="77" spans="1:6" x14ac:dyDescent="0.45">
      <c r="A77" s="131"/>
      <c r="B77" s="43" t="s">
        <v>138</v>
      </c>
      <c r="C77" s="169"/>
      <c r="D77" s="164"/>
      <c r="E77" s="304"/>
      <c r="F77" s="206"/>
    </row>
    <row r="78" spans="1:6" x14ac:dyDescent="0.45">
      <c r="A78" s="131"/>
      <c r="B78" s="43"/>
      <c r="C78" s="135"/>
      <c r="D78" s="136"/>
      <c r="E78" s="304"/>
      <c r="F78" s="207"/>
    </row>
    <row r="79" spans="1:6" ht="30.75" x14ac:dyDescent="0.45">
      <c r="A79" s="131" t="s">
        <v>196</v>
      </c>
      <c r="B79" s="27" t="s">
        <v>145</v>
      </c>
      <c r="C79" s="135">
        <v>89</v>
      </c>
      <c r="D79" s="314" t="s">
        <v>42</v>
      </c>
      <c r="E79" s="247">
        <v>55</v>
      </c>
      <c r="F79" s="192">
        <f t="shared" ref="F79:F112" si="2">IF(C79="","",(C79*E79))</f>
        <v>4895</v>
      </c>
    </row>
    <row r="80" spans="1:6" x14ac:dyDescent="0.45">
      <c r="A80" s="131"/>
      <c r="B80" s="2"/>
      <c r="C80" s="135"/>
      <c r="D80" s="136"/>
      <c r="E80" s="304"/>
      <c r="F80" s="192" t="str">
        <f t="shared" si="2"/>
        <v/>
      </c>
    </row>
    <row r="81" spans="1:7" ht="33" customHeight="1" x14ac:dyDescent="0.45">
      <c r="A81" s="78"/>
      <c r="B81" s="19" t="s">
        <v>40</v>
      </c>
      <c r="C81" s="135"/>
      <c r="D81" s="136"/>
      <c r="E81" s="247"/>
      <c r="F81" s="192" t="str">
        <f t="shared" si="2"/>
        <v/>
      </c>
      <c r="G81" s="155"/>
    </row>
    <row r="82" spans="1:7" x14ac:dyDescent="0.45">
      <c r="A82" s="25" t="s">
        <v>197</v>
      </c>
      <c r="B82" s="2" t="s">
        <v>146</v>
      </c>
      <c r="C82" s="135"/>
      <c r="D82" s="314" t="s">
        <v>42</v>
      </c>
      <c r="E82" s="247"/>
      <c r="F82" s="192" t="str">
        <f t="shared" si="2"/>
        <v/>
      </c>
    </row>
    <row r="83" spans="1:7" x14ac:dyDescent="0.45">
      <c r="A83" s="25"/>
      <c r="B83" s="2"/>
      <c r="C83" s="135"/>
      <c r="D83" s="136"/>
      <c r="E83" s="247"/>
      <c r="F83" s="192" t="str">
        <f t="shared" si="2"/>
        <v/>
      </c>
    </row>
    <row r="84" spans="1:7" x14ac:dyDescent="0.45">
      <c r="A84" s="25" t="s">
        <v>198</v>
      </c>
      <c r="B84" s="2" t="s">
        <v>147</v>
      </c>
      <c r="C84" s="135">
        <f>(41.64*4)+(10.13*2.11)</f>
        <v>187.93430000000001</v>
      </c>
      <c r="D84" s="314" t="s">
        <v>42</v>
      </c>
      <c r="E84" s="247">
        <v>12.5</v>
      </c>
      <c r="F84" s="192">
        <f t="shared" si="2"/>
        <v>2349.17875</v>
      </c>
    </row>
    <row r="85" spans="1:7" ht="33" customHeight="1" x14ac:dyDescent="0.45">
      <c r="A85" s="25"/>
      <c r="B85" s="2"/>
      <c r="C85" s="135"/>
      <c r="D85" s="136"/>
      <c r="E85" s="246"/>
      <c r="F85" s="192" t="str">
        <f t="shared" si="2"/>
        <v/>
      </c>
    </row>
    <row r="86" spans="1:7" ht="30.75" x14ac:dyDescent="0.45">
      <c r="A86" s="25" t="s">
        <v>199</v>
      </c>
      <c r="B86" s="2" t="s">
        <v>148</v>
      </c>
      <c r="C86" s="135">
        <f>5.03*10.13</f>
        <v>50.953900000000004</v>
      </c>
      <c r="D86" s="314" t="s">
        <v>42</v>
      </c>
      <c r="E86" s="247">
        <v>70</v>
      </c>
      <c r="F86" s="192">
        <f t="shared" si="2"/>
        <v>3566.7730000000001</v>
      </c>
    </row>
    <row r="87" spans="1:7" x14ac:dyDescent="0.45">
      <c r="A87" s="25"/>
      <c r="B87" s="2"/>
      <c r="C87" s="135"/>
      <c r="D87" s="136"/>
      <c r="E87" s="247"/>
      <c r="F87" s="192" t="str">
        <f t="shared" si="2"/>
        <v/>
      </c>
    </row>
    <row r="88" spans="1:7" x14ac:dyDescent="0.45">
      <c r="A88" s="25" t="s">
        <v>200</v>
      </c>
      <c r="B88" s="2" t="s">
        <v>150</v>
      </c>
      <c r="C88" s="135">
        <f>12.47*2</f>
        <v>24.94</v>
      </c>
      <c r="D88" s="314" t="s">
        <v>42</v>
      </c>
      <c r="E88" s="247">
        <v>7.25</v>
      </c>
      <c r="F88" s="192">
        <f t="shared" si="2"/>
        <v>180.815</v>
      </c>
    </row>
    <row r="89" spans="1:7" x14ac:dyDescent="0.45">
      <c r="A89" s="25"/>
      <c r="B89" s="2"/>
      <c r="C89" s="259"/>
      <c r="D89" s="136"/>
      <c r="E89" s="247"/>
      <c r="F89" s="192" t="str">
        <f t="shared" si="2"/>
        <v/>
      </c>
    </row>
    <row r="90" spans="1:7" x14ac:dyDescent="0.45">
      <c r="A90" s="25" t="s">
        <v>201</v>
      </c>
      <c r="B90" s="2" t="s">
        <v>161</v>
      </c>
      <c r="C90" s="135">
        <v>238.88820000000001</v>
      </c>
      <c r="D90" s="314" t="s">
        <v>42</v>
      </c>
      <c r="E90" s="247">
        <v>6</v>
      </c>
      <c r="F90" s="192">
        <f t="shared" si="2"/>
        <v>1433.3292000000001</v>
      </c>
    </row>
    <row r="91" spans="1:7" x14ac:dyDescent="0.45">
      <c r="A91" s="25"/>
      <c r="B91" s="2"/>
      <c r="C91" s="259"/>
      <c r="D91" s="136"/>
      <c r="E91" s="247"/>
      <c r="F91" s="192"/>
    </row>
    <row r="92" spans="1:7" x14ac:dyDescent="0.45">
      <c r="A92" s="25" t="s">
        <v>202</v>
      </c>
      <c r="B92" s="2" t="s">
        <v>151</v>
      </c>
      <c r="C92" s="322">
        <f>C84+C86</f>
        <v>238.88820000000001</v>
      </c>
      <c r="D92" s="314" t="s">
        <v>42</v>
      </c>
      <c r="E92" s="247">
        <v>7</v>
      </c>
      <c r="F92" s="192">
        <f t="shared" si="2"/>
        <v>1672.2174</v>
      </c>
    </row>
    <row r="93" spans="1:7" x14ac:dyDescent="0.45">
      <c r="A93" s="25"/>
      <c r="B93" s="28"/>
      <c r="C93" s="135"/>
      <c r="D93" s="136"/>
      <c r="E93" s="247"/>
      <c r="F93" s="192" t="str">
        <f t="shared" si="2"/>
        <v/>
      </c>
    </row>
    <row r="94" spans="1:7" x14ac:dyDescent="0.45">
      <c r="A94" s="25"/>
      <c r="B94" s="28" t="s">
        <v>152</v>
      </c>
      <c r="C94" s="135"/>
      <c r="D94" s="136"/>
      <c r="E94" s="247"/>
      <c r="F94" s="192" t="str">
        <f t="shared" si="2"/>
        <v/>
      </c>
    </row>
    <row r="95" spans="1:7" x14ac:dyDescent="0.45">
      <c r="A95" s="25"/>
      <c r="B95" s="2"/>
      <c r="C95" s="181"/>
      <c r="D95" s="181"/>
      <c r="E95" s="247"/>
      <c r="F95" s="192" t="str">
        <f t="shared" si="2"/>
        <v/>
      </c>
    </row>
    <row r="96" spans="1:7" x14ac:dyDescent="0.45">
      <c r="A96" s="25" t="s">
        <v>203</v>
      </c>
      <c r="B96" s="27" t="s">
        <v>153</v>
      </c>
      <c r="C96" s="135">
        <f>(21.74*2.5)*2</f>
        <v>108.69999999999999</v>
      </c>
      <c r="D96" s="314" t="s">
        <v>42</v>
      </c>
      <c r="E96" s="247">
        <v>11.6</v>
      </c>
      <c r="F96" s="192">
        <f t="shared" si="2"/>
        <v>1260.9199999999998</v>
      </c>
    </row>
    <row r="97" spans="1:6" x14ac:dyDescent="0.45">
      <c r="A97" s="25"/>
      <c r="B97" s="19"/>
      <c r="C97" s="135"/>
      <c r="D97" s="136"/>
      <c r="E97" s="246"/>
      <c r="F97" s="192" t="str">
        <f t="shared" si="2"/>
        <v/>
      </c>
    </row>
    <row r="98" spans="1:6" x14ac:dyDescent="0.45">
      <c r="A98" s="25" t="s">
        <v>204</v>
      </c>
      <c r="B98" s="2" t="s">
        <v>154</v>
      </c>
      <c r="C98" s="151"/>
      <c r="D98" s="314" t="s">
        <v>42</v>
      </c>
      <c r="E98" s="246"/>
      <c r="F98" s="192" t="str">
        <f t="shared" si="2"/>
        <v/>
      </c>
    </row>
    <row r="99" spans="1:6" x14ac:dyDescent="0.45">
      <c r="A99" s="25"/>
      <c r="B99" s="80"/>
      <c r="C99" s="135"/>
      <c r="D99" s="136"/>
      <c r="E99" s="247"/>
      <c r="F99" s="192" t="str">
        <f t="shared" si="2"/>
        <v/>
      </c>
    </row>
    <row r="100" spans="1:6" ht="30.75" x14ac:dyDescent="0.45">
      <c r="A100" s="25" t="s">
        <v>205</v>
      </c>
      <c r="B100" s="2" t="s">
        <v>155</v>
      </c>
      <c r="C100" s="135"/>
      <c r="D100" s="314" t="s">
        <v>42</v>
      </c>
      <c r="E100" s="247"/>
      <c r="F100" s="192" t="str">
        <f t="shared" si="2"/>
        <v/>
      </c>
    </row>
    <row r="101" spans="1:6" x14ac:dyDescent="0.45">
      <c r="A101" s="25"/>
      <c r="B101" s="79"/>
      <c r="C101" s="135"/>
      <c r="D101" s="136"/>
      <c r="E101" s="247"/>
      <c r="F101" s="192" t="str">
        <f t="shared" si="2"/>
        <v/>
      </c>
    </row>
    <row r="102" spans="1:6" ht="30.75" x14ac:dyDescent="0.45">
      <c r="A102" s="25" t="s">
        <v>253</v>
      </c>
      <c r="B102" s="2" t="s">
        <v>156</v>
      </c>
      <c r="C102" s="135"/>
      <c r="D102" s="314" t="s">
        <v>42</v>
      </c>
      <c r="E102" s="247"/>
      <c r="F102" s="192" t="str">
        <f t="shared" si="2"/>
        <v/>
      </c>
    </row>
    <row r="103" spans="1:6" x14ac:dyDescent="0.45">
      <c r="A103" s="25"/>
      <c r="B103" s="79"/>
      <c r="C103" s="135"/>
      <c r="D103" s="136"/>
      <c r="E103" s="247"/>
      <c r="F103" s="192" t="str">
        <f t="shared" si="2"/>
        <v/>
      </c>
    </row>
    <row r="104" spans="1:6" ht="30.75" x14ac:dyDescent="0.45">
      <c r="A104" s="25" t="s">
        <v>254</v>
      </c>
      <c r="B104" s="2" t="s">
        <v>157</v>
      </c>
      <c r="C104" s="135">
        <f>(40.11*2.5)*2</f>
        <v>200.55</v>
      </c>
      <c r="D104" s="314" t="s">
        <v>42</v>
      </c>
      <c r="E104" s="247">
        <v>11.52</v>
      </c>
      <c r="F104" s="192">
        <f t="shared" si="2"/>
        <v>2310.3360000000002</v>
      </c>
    </row>
    <row r="105" spans="1:6" x14ac:dyDescent="0.45">
      <c r="A105" s="25"/>
      <c r="B105" s="79"/>
      <c r="C105" s="135"/>
      <c r="D105" s="136"/>
      <c r="E105" s="247"/>
      <c r="F105" s="192" t="str">
        <f t="shared" si="2"/>
        <v/>
      </c>
    </row>
    <row r="106" spans="1:6" ht="30.75" x14ac:dyDescent="0.45">
      <c r="A106" s="25" t="s">
        <v>255</v>
      </c>
      <c r="B106" s="2" t="s">
        <v>158</v>
      </c>
      <c r="C106" s="135">
        <v>22.832000000000001</v>
      </c>
      <c r="D106" s="314" t="s">
        <v>42</v>
      </c>
      <c r="E106" s="247">
        <v>11.52</v>
      </c>
      <c r="F106" s="192">
        <f t="shared" si="2"/>
        <v>263.02463999999998</v>
      </c>
    </row>
    <row r="107" spans="1:6" x14ac:dyDescent="0.45">
      <c r="A107" s="25"/>
      <c r="B107" s="79"/>
      <c r="C107" s="135"/>
      <c r="D107" s="136"/>
      <c r="E107" s="247"/>
      <c r="F107" s="192" t="str">
        <f t="shared" si="2"/>
        <v/>
      </c>
    </row>
    <row r="108" spans="1:6" x14ac:dyDescent="0.45">
      <c r="A108" s="25" t="s">
        <v>256</v>
      </c>
      <c r="B108" s="2" t="s">
        <v>159</v>
      </c>
      <c r="C108" s="135"/>
      <c r="D108" s="314" t="s">
        <v>42</v>
      </c>
      <c r="E108" s="247"/>
      <c r="F108" s="192" t="str">
        <f t="shared" si="2"/>
        <v/>
      </c>
    </row>
    <row r="109" spans="1:6" x14ac:dyDescent="0.45">
      <c r="A109" s="25"/>
      <c r="B109" s="94"/>
      <c r="C109" s="135"/>
      <c r="D109" s="136"/>
      <c r="E109" s="247"/>
      <c r="F109" s="192" t="str">
        <f t="shared" si="2"/>
        <v/>
      </c>
    </row>
    <row r="110" spans="1:6" x14ac:dyDescent="0.45">
      <c r="A110" s="25" t="s">
        <v>257</v>
      </c>
      <c r="B110" s="2" t="s">
        <v>160</v>
      </c>
      <c r="C110" s="135">
        <f>32.5+47.35+47.75</f>
        <v>127.6</v>
      </c>
      <c r="D110" s="314" t="s">
        <v>42</v>
      </c>
      <c r="E110" s="247">
        <v>7.25</v>
      </c>
      <c r="F110" s="192">
        <f t="shared" si="2"/>
        <v>925.09999999999991</v>
      </c>
    </row>
    <row r="111" spans="1:6" x14ac:dyDescent="0.45">
      <c r="A111" s="73"/>
      <c r="B111" s="80"/>
      <c r="C111" s="151"/>
      <c r="D111" s="136"/>
      <c r="E111" s="247"/>
      <c r="F111" s="192" t="str">
        <f t="shared" si="2"/>
        <v/>
      </c>
    </row>
    <row r="112" spans="1:6" x14ac:dyDescent="0.45">
      <c r="A112" s="25" t="s">
        <v>258</v>
      </c>
      <c r="B112" s="2" t="s">
        <v>161</v>
      </c>
      <c r="C112" s="307">
        <f>C106+C104+C96</f>
        <v>332.08199999999999</v>
      </c>
      <c r="D112" s="314" t="s">
        <v>42</v>
      </c>
      <c r="E112" s="247">
        <v>6</v>
      </c>
      <c r="F112" s="192">
        <f t="shared" si="2"/>
        <v>1992.492</v>
      </c>
    </row>
    <row r="113" spans="1:6" x14ac:dyDescent="0.45">
      <c r="A113" s="359"/>
      <c r="B113" s="47"/>
      <c r="C113" s="360"/>
      <c r="D113" s="361"/>
      <c r="E113" s="303"/>
      <c r="F113" s="192"/>
    </row>
    <row r="114" spans="1:6" x14ac:dyDescent="0.45">
      <c r="A114" s="38"/>
      <c r="B114" s="6"/>
      <c r="C114" s="143"/>
      <c r="D114" s="144"/>
      <c r="E114" s="300"/>
      <c r="F114" s="185"/>
    </row>
    <row r="115" spans="1:6" x14ac:dyDescent="0.45">
      <c r="A115" s="39"/>
      <c r="B115" s="9"/>
      <c r="C115" s="145"/>
      <c r="D115" s="146" t="s">
        <v>27</v>
      </c>
      <c r="E115" s="301" t="s">
        <v>20</v>
      </c>
      <c r="F115" s="199">
        <f>SUM(F76:F114)</f>
        <v>20849.185989999998</v>
      </c>
    </row>
    <row r="116" spans="1:6" x14ac:dyDescent="0.45">
      <c r="A116" s="41"/>
      <c r="B116" s="12"/>
      <c r="C116" s="147"/>
      <c r="D116" s="148"/>
      <c r="E116" s="302"/>
      <c r="F116" s="189"/>
    </row>
    <row r="117" spans="1:6" x14ac:dyDescent="0.45">
      <c r="A117" s="2"/>
      <c r="B117" s="2"/>
      <c r="C117" s="135"/>
      <c r="D117" s="136"/>
      <c r="E117" s="305"/>
      <c r="F117" s="192" t="str">
        <f>IF(C117="","",(C117*E117))</f>
        <v/>
      </c>
    </row>
    <row r="118" spans="1:6" x14ac:dyDescent="0.45">
      <c r="A118" s="25" t="s">
        <v>259</v>
      </c>
      <c r="B118" s="27" t="s">
        <v>162</v>
      </c>
      <c r="C118" s="135">
        <f>C112</f>
        <v>332.08199999999999</v>
      </c>
      <c r="D118" s="314" t="s">
        <v>42</v>
      </c>
      <c r="E118" s="305">
        <v>7</v>
      </c>
      <c r="F118" s="192">
        <f t="shared" ref="F118:F143" si="3">IF(C118="","",(C118*E118))</f>
        <v>2324.5740000000001</v>
      </c>
    </row>
    <row r="119" spans="1:6" x14ac:dyDescent="0.45">
      <c r="A119" s="25"/>
      <c r="B119" s="20"/>
      <c r="C119" s="135"/>
      <c r="D119" s="136"/>
      <c r="E119" s="305"/>
      <c r="F119" s="192" t="str">
        <f t="shared" si="3"/>
        <v/>
      </c>
    </row>
    <row r="120" spans="1:6" x14ac:dyDescent="0.45">
      <c r="A120" s="25"/>
      <c r="B120" s="28" t="s">
        <v>163</v>
      </c>
      <c r="C120" s="135"/>
      <c r="D120" s="314"/>
      <c r="E120" s="305"/>
      <c r="F120" s="192" t="str">
        <f t="shared" si="3"/>
        <v/>
      </c>
    </row>
    <row r="121" spans="1:6" x14ac:dyDescent="0.45">
      <c r="A121" s="25"/>
      <c r="B121" s="20"/>
      <c r="C121" s="135"/>
      <c r="D121" s="136"/>
      <c r="E121" s="305"/>
      <c r="F121" s="192" t="str">
        <f t="shared" si="3"/>
        <v/>
      </c>
    </row>
    <row r="122" spans="1:6" x14ac:dyDescent="0.45">
      <c r="A122" s="25" t="s">
        <v>260</v>
      </c>
      <c r="B122" s="27" t="s">
        <v>164</v>
      </c>
      <c r="C122" s="135">
        <v>166.56</v>
      </c>
      <c r="D122" s="314" t="s">
        <v>42</v>
      </c>
      <c r="E122" s="247">
        <v>5</v>
      </c>
      <c r="F122" s="192">
        <f t="shared" si="3"/>
        <v>832.8</v>
      </c>
    </row>
    <row r="123" spans="1:6" x14ac:dyDescent="0.45">
      <c r="A123" s="25"/>
      <c r="B123" s="20"/>
      <c r="C123" s="135"/>
      <c r="D123" s="136"/>
      <c r="E123" s="247"/>
      <c r="F123" s="192" t="str">
        <f t="shared" si="3"/>
        <v/>
      </c>
    </row>
    <row r="124" spans="1:6" x14ac:dyDescent="0.45">
      <c r="A124" s="25" t="s">
        <v>261</v>
      </c>
      <c r="B124" s="2" t="s">
        <v>165</v>
      </c>
      <c r="C124" s="135">
        <v>21.17</v>
      </c>
      <c r="D124" s="314" t="s">
        <v>42</v>
      </c>
      <c r="E124" s="247">
        <v>16.8</v>
      </c>
      <c r="F124" s="192">
        <f t="shared" si="3"/>
        <v>355.65600000000006</v>
      </c>
    </row>
    <row r="125" spans="1:6" x14ac:dyDescent="0.45">
      <c r="A125" s="25"/>
      <c r="B125" s="20"/>
      <c r="C125" s="135"/>
      <c r="D125" s="136"/>
      <c r="E125" s="305"/>
      <c r="F125" s="192" t="str">
        <f t="shared" si="3"/>
        <v/>
      </c>
    </row>
    <row r="126" spans="1:6" x14ac:dyDescent="0.45">
      <c r="A126" s="25"/>
      <c r="B126" s="19" t="s">
        <v>166</v>
      </c>
      <c r="C126" s="135"/>
      <c r="D126" s="136"/>
      <c r="E126" s="305"/>
      <c r="F126" s="192" t="str">
        <f t="shared" si="3"/>
        <v/>
      </c>
    </row>
    <row r="127" spans="1:6" x14ac:dyDescent="0.45">
      <c r="A127" s="25"/>
      <c r="B127" s="20"/>
      <c r="C127" s="135"/>
      <c r="D127" s="136"/>
      <c r="E127" s="305"/>
      <c r="F127" s="192" t="str">
        <f t="shared" si="3"/>
        <v/>
      </c>
    </row>
    <row r="128" spans="1:6" x14ac:dyDescent="0.45">
      <c r="A128" s="25"/>
      <c r="B128" s="2" t="s">
        <v>167</v>
      </c>
      <c r="C128" s="135"/>
      <c r="D128" s="136"/>
      <c r="E128" s="305"/>
      <c r="F128" s="192" t="str">
        <f t="shared" si="3"/>
        <v/>
      </c>
    </row>
    <row r="129" spans="1:6" x14ac:dyDescent="0.45">
      <c r="A129" s="25" t="s">
        <v>262</v>
      </c>
      <c r="B129" s="2" t="s">
        <v>168</v>
      </c>
      <c r="C129" s="135">
        <v>2</v>
      </c>
      <c r="D129" s="136" t="s">
        <v>137</v>
      </c>
      <c r="E129" s="249">
        <v>135</v>
      </c>
      <c r="F129" s="192">
        <f t="shared" si="3"/>
        <v>270</v>
      </c>
    </row>
    <row r="130" spans="1:6" x14ac:dyDescent="0.45">
      <c r="A130" s="25" t="s">
        <v>263</v>
      </c>
      <c r="B130" s="2" t="s">
        <v>169</v>
      </c>
      <c r="C130" s="135">
        <v>2</v>
      </c>
      <c r="D130" s="136" t="s">
        <v>137</v>
      </c>
      <c r="E130" s="249">
        <v>135</v>
      </c>
      <c r="F130" s="192">
        <f t="shared" si="3"/>
        <v>270</v>
      </c>
    </row>
    <row r="131" spans="1:6" x14ac:dyDescent="0.45">
      <c r="A131" s="25"/>
      <c r="B131" s="20"/>
      <c r="D131" s="136"/>
      <c r="E131" s="249"/>
      <c r="F131" s="192" t="str">
        <f t="shared" si="3"/>
        <v/>
      </c>
    </row>
    <row r="132" spans="1:6" x14ac:dyDescent="0.45">
      <c r="A132" s="25" t="s">
        <v>510</v>
      </c>
      <c r="B132" s="2" t="s">
        <v>170</v>
      </c>
      <c r="C132" s="135">
        <v>4</v>
      </c>
      <c r="D132" s="136" t="s">
        <v>137</v>
      </c>
      <c r="E132" s="249">
        <v>135</v>
      </c>
      <c r="F132" s="192">
        <f t="shared" si="3"/>
        <v>540</v>
      </c>
    </row>
    <row r="133" spans="1:6" x14ac:dyDescent="0.45">
      <c r="A133" s="25"/>
      <c r="B133" s="2"/>
      <c r="C133" s="135"/>
      <c r="D133" s="136"/>
      <c r="E133" s="305"/>
      <c r="F133" s="192" t="str">
        <f t="shared" si="3"/>
        <v/>
      </c>
    </row>
    <row r="134" spans="1:6" x14ac:dyDescent="0.45">
      <c r="A134" s="25" t="s">
        <v>264</v>
      </c>
      <c r="B134" s="2" t="s">
        <v>171</v>
      </c>
      <c r="C134" s="135">
        <v>4</v>
      </c>
      <c r="D134" s="136" t="s">
        <v>137</v>
      </c>
      <c r="E134" s="305">
        <v>135</v>
      </c>
      <c r="F134" s="192">
        <f t="shared" si="3"/>
        <v>540</v>
      </c>
    </row>
    <row r="135" spans="1:6" x14ac:dyDescent="0.45">
      <c r="A135" s="25" t="s">
        <v>265</v>
      </c>
      <c r="B135" s="2" t="s">
        <v>172</v>
      </c>
      <c r="C135" s="135"/>
      <c r="D135" s="136" t="s">
        <v>137</v>
      </c>
      <c r="E135" s="305"/>
      <c r="F135" s="192" t="str">
        <f t="shared" si="3"/>
        <v/>
      </c>
    </row>
    <row r="136" spans="1:6" x14ac:dyDescent="0.45">
      <c r="A136" s="25" t="s">
        <v>266</v>
      </c>
      <c r="B136" s="2" t="s">
        <v>173</v>
      </c>
      <c r="C136" s="135">
        <v>6</v>
      </c>
      <c r="D136" s="136" t="s">
        <v>137</v>
      </c>
      <c r="E136" s="305">
        <v>250</v>
      </c>
      <c r="F136" s="192">
        <f t="shared" si="3"/>
        <v>1500</v>
      </c>
    </row>
    <row r="137" spans="1:6" x14ac:dyDescent="0.45">
      <c r="A137" s="25"/>
      <c r="B137" s="2"/>
      <c r="C137" s="135"/>
      <c r="D137" s="136"/>
      <c r="E137" s="305"/>
      <c r="F137" s="192" t="str">
        <f t="shared" si="3"/>
        <v/>
      </c>
    </row>
    <row r="138" spans="1:6" x14ac:dyDescent="0.45">
      <c r="A138" s="25" t="s">
        <v>267</v>
      </c>
      <c r="B138" s="2" t="s">
        <v>174</v>
      </c>
      <c r="C138" s="135">
        <v>2</v>
      </c>
      <c r="D138" s="136" t="s">
        <v>137</v>
      </c>
      <c r="E138" s="305">
        <v>300</v>
      </c>
      <c r="F138" s="192">
        <f t="shared" si="3"/>
        <v>600</v>
      </c>
    </row>
    <row r="139" spans="1:6" x14ac:dyDescent="0.45">
      <c r="A139" s="25"/>
      <c r="B139" s="2"/>
      <c r="C139" s="135"/>
      <c r="D139" s="136"/>
      <c r="E139" s="305"/>
      <c r="F139" s="192" t="str">
        <f t="shared" si="3"/>
        <v/>
      </c>
    </row>
    <row r="140" spans="1:6" x14ac:dyDescent="0.45">
      <c r="A140" s="25"/>
      <c r="B140" s="19" t="s">
        <v>175</v>
      </c>
      <c r="C140" s="135"/>
      <c r="D140" s="136"/>
      <c r="E140" s="305"/>
      <c r="F140" s="192" t="str">
        <f t="shared" si="3"/>
        <v/>
      </c>
    </row>
    <row r="141" spans="1:6" x14ac:dyDescent="0.45">
      <c r="A141" s="25"/>
      <c r="B141" s="2"/>
      <c r="C141" s="135"/>
      <c r="D141" s="136"/>
      <c r="E141" s="305"/>
      <c r="F141" s="192" t="str">
        <f t="shared" si="3"/>
        <v/>
      </c>
    </row>
    <row r="142" spans="1:6" x14ac:dyDescent="0.45">
      <c r="A142" s="25" t="s">
        <v>268</v>
      </c>
      <c r="B142" s="2" t="s">
        <v>176</v>
      </c>
      <c r="C142" s="135">
        <v>45</v>
      </c>
      <c r="D142" s="136" t="s">
        <v>42</v>
      </c>
      <c r="E142" s="305">
        <v>55</v>
      </c>
      <c r="F142" s="192">
        <f t="shared" si="3"/>
        <v>2475</v>
      </c>
    </row>
    <row r="143" spans="1:6" x14ac:dyDescent="0.45">
      <c r="A143" s="2"/>
      <c r="B143" s="20"/>
      <c r="C143" s="135"/>
      <c r="D143" s="136"/>
      <c r="E143" s="305"/>
      <c r="F143" s="192" t="str">
        <f t="shared" si="3"/>
        <v/>
      </c>
    </row>
    <row r="144" spans="1:6" x14ac:dyDescent="0.45">
      <c r="A144" s="2"/>
      <c r="B144" s="20"/>
      <c r="C144" s="135"/>
      <c r="D144" s="136"/>
      <c r="E144" s="305"/>
      <c r="F144" s="192" t="str">
        <f>IF(C144="","",(C144*E144))</f>
        <v/>
      </c>
    </row>
    <row r="145" spans="1:6" x14ac:dyDescent="0.45">
      <c r="A145" s="4"/>
      <c r="B145" s="6"/>
      <c r="C145" s="143"/>
      <c r="D145" s="144"/>
      <c r="E145" s="300"/>
      <c r="F145" s="185"/>
    </row>
    <row r="146" spans="1:6" x14ac:dyDescent="0.45">
      <c r="A146" s="7"/>
      <c r="B146" s="9"/>
      <c r="C146" s="145" t="s">
        <v>21</v>
      </c>
      <c r="D146" s="154"/>
      <c r="E146" s="306"/>
      <c r="F146" s="199">
        <f>SUM(F117:F144)</f>
        <v>9708.0299999999988</v>
      </c>
    </row>
    <row r="147" spans="1:6" x14ac:dyDescent="0.45">
      <c r="A147" s="10"/>
      <c r="B147" s="12"/>
      <c r="C147" s="147"/>
      <c r="D147" s="148"/>
      <c r="E147" s="302"/>
      <c r="F147" s="189"/>
    </row>
  </sheetData>
  <phoneticPr fontId="6" type="noConversion"/>
  <pageMargins left="0.7" right="0.7" top="0.75" bottom="0.75" header="0.3" footer="0.3"/>
  <pageSetup paperSize="9" scale="68" fitToHeight="0" orientation="portrait" r:id="rId1"/>
  <headerFooter alignWithMargins="0">
    <oddFooter>Page &amp;P of &amp;N</oddFooter>
  </headerFooter>
  <rowBreaks count="3" manualBreakCount="3">
    <brk id="45" max="16383" man="1"/>
    <brk id="75" max="16383" man="1"/>
    <brk id="11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0B0D-184C-4D22-BDDA-F01F086C3868}">
  <dimension ref="A1:G100"/>
  <sheetViews>
    <sheetView view="pageBreakPreview" zoomScale="98" zoomScaleNormal="100" zoomScaleSheetLayoutView="98" workbookViewId="0">
      <selection activeCell="E16" sqref="E16:E20"/>
    </sheetView>
  </sheetViews>
  <sheetFormatPr defaultColWidth="9.1328125" defaultRowHeight="15.4" x14ac:dyDescent="0.35"/>
  <cols>
    <col min="1" max="1" width="6.796875" style="1" bestFit="1" customWidth="1"/>
    <col min="2" max="2" width="53.1328125" style="1" customWidth="1"/>
    <col min="3" max="3" width="13.53125" style="1" customWidth="1"/>
    <col min="4" max="4" width="12.19921875" style="26" customWidth="1"/>
    <col min="5" max="5" width="11.19921875" style="204" bestFit="1" customWidth="1"/>
    <col min="6" max="6" width="15.19921875" style="36" customWidth="1"/>
    <col min="7" max="7" width="25.1328125" style="1" customWidth="1"/>
    <col min="8" max="16384" width="9.1328125" style="1"/>
  </cols>
  <sheetData>
    <row r="1" spans="1:7" x14ac:dyDescent="0.35">
      <c r="A1" s="4"/>
      <c r="B1" s="5"/>
      <c r="C1" s="4"/>
      <c r="D1" s="37"/>
      <c r="E1" s="278"/>
      <c r="F1" s="31"/>
    </row>
    <row r="2" spans="1:7" x14ac:dyDescent="0.35">
      <c r="A2" s="13" t="str">
        <f>Summary!A2</f>
        <v>The Former Police Station, Haslingden</v>
      </c>
      <c r="B2" s="14"/>
      <c r="C2" s="13"/>
      <c r="D2" s="15" t="s">
        <v>467</v>
      </c>
      <c r="E2" s="279"/>
      <c r="F2" s="32" t="s">
        <v>8</v>
      </c>
    </row>
    <row r="3" spans="1:7" x14ac:dyDescent="0.35">
      <c r="A3" s="13" t="s">
        <v>32</v>
      </c>
      <c r="B3" s="8"/>
      <c r="C3" s="7"/>
      <c r="D3" s="15"/>
      <c r="E3" s="280"/>
      <c r="F3" s="33"/>
    </row>
    <row r="4" spans="1:7" x14ac:dyDescent="0.35">
      <c r="A4" s="29"/>
      <c r="B4" s="3" t="s">
        <v>22</v>
      </c>
      <c r="C4" s="3" t="s">
        <v>26</v>
      </c>
      <c r="D4" s="3" t="s">
        <v>23</v>
      </c>
      <c r="E4" s="281" t="s">
        <v>24</v>
      </c>
      <c r="F4" s="35" t="s">
        <v>25</v>
      </c>
      <c r="G4" s="178" t="s">
        <v>118</v>
      </c>
    </row>
    <row r="5" spans="1:7" x14ac:dyDescent="0.35">
      <c r="A5" s="25"/>
      <c r="B5" s="22"/>
      <c r="C5" s="18"/>
      <c r="D5" s="25"/>
      <c r="E5" s="256"/>
      <c r="F5" s="30"/>
    </row>
    <row r="6" spans="1:7" x14ac:dyDescent="0.35">
      <c r="A6" s="25"/>
      <c r="B6" s="22" t="s">
        <v>139</v>
      </c>
      <c r="C6" s="18"/>
      <c r="D6" s="25"/>
      <c r="E6" s="256"/>
      <c r="F6" s="30"/>
    </row>
    <row r="7" spans="1:7" x14ac:dyDescent="0.45">
      <c r="A7" s="25"/>
      <c r="B7" s="22"/>
      <c r="C7" s="135"/>
      <c r="D7" s="136"/>
      <c r="E7" s="247"/>
      <c r="F7" s="192"/>
    </row>
    <row r="8" spans="1:7" ht="61.5" x14ac:dyDescent="0.45">
      <c r="A8" s="25" t="s">
        <v>9</v>
      </c>
      <c r="B8" s="2" t="s">
        <v>468</v>
      </c>
      <c r="C8" s="135">
        <v>6</v>
      </c>
      <c r="D8" s="136" t="s">
        <v>430</v>
      </c>
      <c r="E8" s="247">
        <v>16800</v>
      </c>
      <c r="F8" s="192">
        <f t="shared" ref="F8" si="0">IF(C8="","",(C8*E8))</f>
        <v>100800</v>
      </c>
      <c r="G8" s="1" t="s">
        <v>527</v>
      </c>
    </row>
    <row r="9" spans="1:7" ht="17.25" customHeight="1" x14ac:dyDescent="0.35">
      <c r="A9" s="25"/>
      <c r="B9" s="159"/>
      <c r="C9" s="18"/>
      <c r="D9" s="25"/>
      <c r="E9" s="256"/>
      <c r="F9" s="30"/>
    </row>
    <row r="10" spans="1:7" x14ac:dyDescent="0.45">
      <c r="A10" s="25"/>
      <c r="B10" s="22" t="s">
        <v>138</v>
      </c>
      <c r="C10" s="135"/>
      <c r="D10" s="136"/>
      <c r="E10" s="247"/>
      <c r="F10" s="192"/>
    </row>
    <row r="11" spans="1:7" x14ac:dyDescent="0.45">
      <c r="A11" s="25"/>
      <c r="B11" s="64"/>
      <c r="C11" s="135"/>
      <c r="D11" s="136"/>
      <c r="E11" s="247"/>
      <c r="F11" s="192"/>
    </row>
    <row r="12" spans="1:7" ht="61.5" x14ac:dyDescent="0.45">
      <c r="A12" s="25" t="s">
        <v>10</v>
      </c>
      <c r="B12" s="2" t="s">
        <v>468</v>
      </c>
      <c r="C12" s="135">
        <v>2</v>
      </c>
      <c r="D12" s="136" t="s">
        <v>430</v>
      </c>
      <c r="E12" s="247">
        <v>16800</v>
      </c>
      <c r="F12" s="192">
        <f t="shared" ref="F12" si="1">IF(C12="","",(C12*E12))</f>
        <v>33600</v>
      </c>
      <c r="G12" s="1" t="s">
        <v>527</v>
      </c>
    </row>
    <row r="13" spans="1:7" x14ac:dyDescent="0.45">
      <c r="A13" s="25"/>
      <c r="C13" s="135"/>
      <c r="D13" s="136"/>
      <c r="E13" s="247"/>
      <c r="F13" s="192"/>
    </row>
    <row r="14" spans="1:7" x14ac:dyDescent="0.35">
      <c r="A14" s="25"/>
      <c r="B14" s="22" t="s">
        <v>139</v>
      </c>
      <c r="C14" s="18"/>
      <c r="D14" s="25"/>
      <c r="E14" s="256"/>
      <c r="F14" s="30"/>
    </row>
    <row r="15" spans="1:7" x14ac:dyDescent="0.45">
      <c r="A15" s="25"/>
      <c r="B15" s="22"/>
      <c r="C15" s="135"/>
      <c r="D15" s="136"/>
      <c r="E15" s="247"/>
      <c r="F15" s="192"/>
    </row>
    <row r="16" spans="1:7" ht="61.5" x14ac:dyDescent="0.45">
      <c r="A16" s="25" t="s">
        <v>11</v>
      </c>
      <c r="B16" s="2" t="s">
        <v>469</v>
      </c>
      <c r="C16" s="135">
        <v>6</v>
      </c>
      <c r="D16" s="136" t="s">
        <v>430</v>
      </c>
      <c r="E16" s="247">
        <v>4250</v>
      </c>
      <c r="F16" s="192">
        <f t="shared" ref="F16" si="2">IF(C16="","",(C16*E16))</f>
        <v>25500</v>
      </c>
    </row>
    <row r="17" spans="1:7" x14ac:dyDescent="0.35">
      <c r="A17" s="25"/>
      <c r="B17" s="159"/>
      <c r="C17" s="18"/>
      <c r="D17" s="25"/>
      <c r="E17" s="256"/>
      <c r="F17" s="30"/>
    </row>
    <row r="18" spans="1:7" x14ac:dyDescent="0.45">
      <c r="A18" s="25"/>
      <c r="B18" s="22" t="s">
        <v>138</v>
      </c>
      <c r="C18" s="135"/>
      <c r="D18" s="136"/>
      <c r="E18" s="247"/>
      <c r="F18" s="192"/>
    </row>
    <row r="19" spans="1:7" x14ac:dyDescent="0.45">
      <c r="A19" s="25"/>
      <c r="B19" s="64"/>
      <c r="C19" s="135"/>
      <c r="D19" s="136"/>
      <c r="E19" s="247"/>
      <c r="F19" s="192"/>
    </row>
    <row r="20" spans="1:7" ht="61.5" x14ac:dyDescent="0.45">
      <c r="A20" s="25" t="s">
        <v>12</v>
      </c>
      <c r="B20" s="2" t="s">
        <v>469</v>
      </c>
      <c r="C20" s="135">
        <v>2</v>
      </c>
      <c r="D20" s="136" t="s">
        <v>430</v>
      </c>
      <c r="E20" s="247">
        <v>4250</v>
      </c>
      <c r="F20" s="192">
        <f t="shared" ref="F20" si="3">IF(C20="","",(C20*E20))</f>
        <v>8500</v>
      </c>
    </row>
    <row r="21" spans="1:7" x14ac:dyDescent="0.35">
      <c r="A21" s="25"/>
      <c r="C21" s="18"/>
      <c r="D21" s="25"/>
      <c r="E21" s="256"/>
      <c r="F21" s="30"/>
    </row>
    <row r="22" spans="1:7" ht="16.5" customHeight="1" x14ac:dyDescent="0.35">
      <c r="A22" s="25"/>
      <c r="B22" s="22"/>
      <c r="C22" s="18"/>
      <c r="D22" s="25"/>
      <c r="E22" s="256"/>
      <c r="F22" s="30"/>
    </row>
    <row r="23" spans="1:7" x14ac:dyDescent="0.35">
      <c r="A23" s="25"/>
      <c r="B23" s="19"/>
      <c r="C23" s="18"/>
      <c r="D23" s="25"/>
      <c r="E23" s="256"/>
      <c r="F23" s="30"/>
    </row>
    <row r="24" spans="1:7" x14ac:dyDescent="0.45">
      <c r="A24" s="25"/>
      <c r="B24" s="287"/>
      <c r="C24" s="135"/>
      <c r="D24" s="152"/>
      <c r="E24" s="246"/>
      <c r="F24" s="288"/>
    </row>
    <row r="25" spans="1:7" x14ac:dyDescent="0.35">
      <c r="A25" s="25"/>
      <c r="B25" s="2"/>
      <c r="C25" s="18"/>
      <c r="D25" s="25"/>
      <c r="E25" s="256"/>
      <c r="F25" s="30"/>
    </row>
    <row r="26" spans="1:7" x14ac:dyDescent="0.35">
      <c r="A26" s="25"/>
      <c r="B26" s="22"/>
      <c r="C26" s="18"/>
      <c r="D26" s="25"/>
      <c r="E26" s="256"/>
      <c r="F26" s="30"/>
      <c r="G26" s="289" t="str">
        <f t="shared" ref="G26:G27" si="4">IF(D26="","",(D26*F26))</f>
        <v/>
      </c>
    </row>
    <row r="27" spans="1:7" x14ac:dyDescent="0.35">
      <c r="A27" s="25"/>
      <c r="B27" s="2"/>
      <c r="C27" s="18"/>
      <c r="D27" s="25"/>
      <c r="E27" s="256"/>
      <c r="F27" s="30"/>
      <c r="G27" s="289" t="str">
        <f t="shared" si="4"/>
        <v/>
      </c>
    </row>
    <row r="28" spans="1:7" x14ac:dyDescent="0.45">
      <c r="A28" s="25"/>
      <c r="B28" s="2"/>
      <c r="C28" s="258"/>
      <c r="D28" s="73"/>
      <c r="E28" s="75"/>
      <c r="F28" s="202"/>
      <c r="G28" s="290"/>
    </row>
    <row r="29" spans="1:7" x14ac:dyDescent="0.35">
      <c r="A29" s="25"/>
      <c r="C29" s="18"/>
      <c r="D29" s="25"/>
      <c r="E29" s="256"/>
      <c r="F29" s="30"/>
      <c r="G29" s="289"/>
    </row>
    <row r="30" spans="1:7" x14ac:dyDescent="0.35">
      <c r="A30" s="25"/>
      <c r="B30" s="2"/>
      <c r="C30" s="18"/>
      <c r="D30" s="25"/>
      <c r="E30" s="256"/>
      <c r="F30" s="30"/>
      <c r="G30" s="289" t="str">
        <f t="shared" ref="G30:G31" si="5">IF(D30="","",(D30*F30))</f>
        <v/>
      </c>
    </row>
    <row r="31" spans="1:7" x14ac:dyDescent="0.35">
      <c r="A31" s="25"/>
      <c r="B31" s="2"/>
      <c r="C31" s="18"/>
      <c r="D31" s="25"/>
      <c r="E31" s="256"/>
      <c r="F31" s="30"/>
      <c r="G31" s="289" t="str">
        <f t="shared" si="5"/>
        <v/>
      </c>
    </row>
    <row r="32" spans="1:7" x14ac:dyDescent="0.35">
      <c r="A32" s="25"/>
      <c r="B32" s="2"/>
      <c r="C32" s="18"/>
      <c r="D32" s="25"/>
      <c r="E32" s="256"/>
      <c r="F32" s="30"/>
      <c r="G32" s="289"/>
    </row>
    <row r="33" spans="1:7" x14ac:dyDescent="0.35">
      <c r="A33" s="25"/>
      <c r="C33" s="18"/>
      <c r="D33" s="25"/>
      <c r="E33" s="256"/>
      <c r="F33" s="30"/>
      <c r="G33" s="289"/>
    </row>
    <row r="34" spans="1:7" x14ac:dyDescent="0.35">
      <c r="A34" s="25"/>
      <c r="B34" s="2"/>
      <c r="C34" s="18"/>
      <c r="D34" s="25"/>
      <c r="E34" s="256"/>
      <c r="F34" s="30"/>
      <c r="G34" s="289"/>
    </row>
    <row r="35" spans="1:7" x14ac:dyDescent="0.35">
      <c r="A35" s="25"/>
      <c r="B35" s="74"/>
      <c r="C35" s="18"/>
      <c r="D35" s="25"/>
      <c r="E35" s="256"/>
      <c r="F35" s="30"/>
    </row>
    <row r="36" spans="1:7" x14ac:dyDescent="0.35">
      <c r="A36" s="25"/>
      <c r="B36" s="2"/>
      <c r="C36" s="18"/>
      <c r="D36" s="25"/>
      <c r="E36" s="256"/>
      <c r="F36" s="30"/>
    </row>
    <row r="37" spans="1:7" x14ac:dyDescent="0.35">
      <c r="A37" s="4"/>
      <c r="B37" s="6"/>
      <c r="C37" s="6"/>
      <c r="D37" s="23"/>
      <c r="E37" s="282"/>
      <c r="F37" s="31"/>
    </row>
    <row r="38" spans="1:7" x14ac:dyDescent="0.35">
      <c r="A38" s="7"/>
      <c r="B38" s="9"/>
      <c r="C38" s="9"/>
      <c r="D38" s="40" t="s">
        <v>27</v>
      </c>
      <c r="E38" s="283" t="s">
        <v>20</v>
      </c>
      <c r="F38" s="33">
        <f>SUM(F6:F36)</f>
        <v>168400</v>
      </c>
    </row>
    <row r="39" spans="1:7" x14ac:dyDescent="0.35">
      <c r="A39" s="10"/>
      <c r="B39" s="12"/>
      <c r="C39" s="12"/>
      <c r="D39" s="24"/>
      <c r="E39" s="284"/>
      <c r="F39" s="34"/>
    </row>
    <row r="40" spans="1:7" ht="15" customHeight="1" x14ac:dyDescent="0.35">
      <c r="A40" s="25"/>
      <c r="B40" s="22"/>
      <c r="C40" s="18"/>
      <c r="D40" s="25"/>
      <c r="E40" s="256"/>
      <c r="F40" s="30"/>
    </row>
    <row r="41" spans="1:7" ht="18.75" customHeight="1" x14ac:dyDescent="0.35">
      <c r="A41" s="25"/>
      <c r="B41" s="2"/>
      <c r="C41" s="18"/>
      <c r="D41" s="25"/>
      <c r="E41" s="256"/>
      <c r="F41" s="30"/>
    </row>
    <row r="42" spans="1:7" ht="16.5" customHeight="1" x14ac:dyDescent="0.45">
      <c r="A42" s="25"/>
      <c r="B42" s="2"/>
      <c r="C42" s="135"/>
      <c r="D42" s="136"/>
      <c r="E42" s="247"/>
      <c r="F42" s="192"/>
    </row>
    <row r="43" spans="1:7" ht="16.5" customHeight="1" x14ac:dyDescent="0.35">
      <c r="A43" s="25"/>
      <c r="C43" s="18"/>
      <c r="D43" s="25"/>
      <c r="E43" s="256"/>
      <c r="F43" s="30"/>
    </row>
    <row r="44" spans="1:7" x14ac:dyDescent="0.35">
      <c r="A44" s="25"/>
      <c r="C44" s="18"/>
      <c r="D44" s="25"/>
      <c r="E44" s="256"/>
      <c r="F44" s="30"/>
    </row>
    <row r="45" spans="1:7" x14ac:dyDescent="0.35">
      <c r="A45" s="59"/>
      <c r="B45" s="22"/>
      <c r="C45" s="18"/>
      <c r="D45" s="25"/>
      <c r="E45" s="256"/>
      <c r="F45" s="30"/>
    </row>
    <row r="46" spans="1:7" x14ac:dyDescent="0.45">
      <c r="A46" s="25"/>
      <c r="B46" s="2"/>
      <c r="C46" s="135"/>
      <c r="D46" s="136"/>
      <c r="E46" s="247"/>
      <c r="F46" s="192"/>
    </row>
    <row r="47" spans="1:7" x14ac:dyDescent="0.35">
      <c r="A47" s="25"/>
      <c r="B47" s="2"/>
      <c r="C47" s="18"/>
      <c r="D47" s="25"/>
      <c r="E47" s="256"/>
      <c r="F47" s="30"/>
    </row>
    <row r="48" spans="1:7" x14ac:dyDescent="0.35">
      <c r="A48" s="25"/>
      <c r="C48" s="18"/>
      <c r="D48" s="25"/>
      <c r="E48" s="256"/>
      <c r="F48" s="30"/>
    </row>
    <row r="49" spans="1:6" x14ac:dyDescent="0.35">
      <c r="A49" s="25"/>
      <c r="B49" s="2"/>
      <c r="C49" s="18"/>
      <c r="D49" s="25"/>
      <c r="E49" s="256"/>
      <c r="F49" s="30"/>
    </row>
    <row r="50" spans="1:6" x14ac:dyDescent="0.45">
      <c r="A50" s="25"/>
      <c r="B50" s="22"/>
      <c r="C50" s="135"/>
      <c r="D50" s="136"/>
      <c r="E50" s="247"/>
      <c r="F50" s="192"/>
    </row>
    <row r="51" spans="1:6" x14ac:dyDescent="0.45">
      <c r="A51" s="25"/>
      <c r="B51" s="2"/>
      <c r="C51" s="135"/>
      <c r="D51" s="136"/>
      <c r="E51" s="247"/>
      <c r="F51" s="192"/>
    </row>
    <row r="52" spans="1:6" x14ac:dyDescent="0.35">
      <c r="A52" s="25"/>
      <c r="B52" s="2"/>
      <c r="C52" s="18"/>
      <c r="D52" s="25"/>
      <c r="E52" s="256"/>
      <c r="F52" s="30"/>
    </row>
    <row r="53" spans="1:6" x14ac:dyDescent="0.35">
      <c r="A53" s="25"/>
      <c r="B53" s="2"/>
      <c r="C53" s="18"/>
      <c r="D53" s="25"/>
      <c r="E53" s="256"/>
      <c r="F53" s="30"/>
    </row>
    <row r="54" spans="1:6" x14ac:dyDescent="0.45">
      <c r="A54" s="25"/>
      <c r="B54" s="22"/>
      <c r="C54" s="135"/>
      <c r="D54" s="136"/>
      <c r="E54" s="247"/>
      <c r="F54" s="192"/>
    </row>
    <row r="55" spans="1:6" x14ac:dyDescent="0.45">
      <c r="A55" s="25"/>
      <c r="B55" s="2"/>
      <c r="C55" s="135"/>
      <c r="D55" s="136"/>
      <c r="E55" s="247"/>
      <c r="F55" s="192"/>
    </row>
    <row r="56" spans="1:6" x14ac:dyDescent="0.45">
      <c r="A56" s="25"/>
      <c r="B56" s="2"/>
      <c r="C56" s="135"/>
      <c r="D56" s="136"/>
      <c r="E56" s="247"/>
      <c r="F56" s="192"/>
    </row>
    <row r="57" spans="1:6" x14ac:dyDescent="0.35">
      <c r="A57" s="25"/>
      <c r="B57" s="2"/>
      <c r="C57" s="18"/>
      <c r="D57" s="25"/>
      <c r="E57" s="256"/>
      <c r="F57" s="30"/>
    </row>
    <row r="58" spans="1:6" x14ac:dyDescent="0.35">
      <c r="A58" s="25"/>
      <c r="B58" s="2"/>
      <c r="C58" s="18"/>
      <c r="D58" s="25"/>
      <c r="E58" s="256"/>
      <c r="F58" s="30"/>
    </row>
    <row r="59" spans="1:6" x14ac:dyDescent="0.35">
      <c r="A59" s="25"/>
      <c r="B59" s="2"/>
      <c r="C59" s="18"/>
      <c r="D59" s="25"/>
      <c r="E59" s="256"/>
      <c r="F59" s="30"/>
    </row>
    <row r="60" spans="1:6" x14ac:dyDescent="0.35">
      <c r="A60" s="25"/>
      <c r="B60" s="2"/>
      <c r="C60" s="18"/>
      <c r="D60" s="25"/>
      <c r="E60" s="256"/>
      <c r="F60" s="30"/>
    </row>
    <row r="61" spans="1:6" x14ac:dyDescent="0.35">
      <c r="A61" s="25"/>
      <c r="B61" s="2"/>
      <c r="C61" s="18"/>
      <c r="D61" s="25"/>
      <c r="E61" s="256"/>
      <c r="F61" s="30"/>
    </row>
    <row r="62" spans="1:6" x14ac:dyDescent="0.35">
      <c r="A62" s="25"/>
      <c r="B62" s="2"/>
      <c r="C62" s="18"/>
      <c r="D62" s="25"/>
      <c r="E62" s="256"/>
      <c r="F62" s="30"/>
    </row>
    <row r="63" spans="1:6" x14ac:dyDescent="0.35">
      <c r="A63" s="25"/>
      <c r="B63" s="2"/>
      <c r="C63" s="18"/>
      <c r="D63" s="25"/>
      <c r="E63" s="256"/>
      <c r="F63" s="30"/>
    </row>
    <row r="64" spans="1:6" x14ac:dyDescent="0.35">
      <c r="A64" s="25"/>
      <c r="B64" s="22"/>
      <c r="C64" s="18"/>
      <c r="D64" s="25"/>
      <c r="E64" s="256"/>
      <c r="F64" s="30"/>
    </row>
    <row r="65" spans="1:6" x14ac:dyDescent="0.35">
      <c r="A65" s="25"/>
      <c r="B65" s="2"/>
      <c r="C65" s="18"/>
      <c r="D65" s="25"/>
      <c r="E65" s="256"/>
      <c r="F65" s="30"/>
    </row>
    <row r="66" spans="1:6" x14ac:dyDescent="0.45">
      <c r="A66" s="25"/>
      <c r="B66" s="2"/>
      <c r="C66" s="135"/>
      <c r="D66" s="152"/>
      <c r="E66" s="246"/>
      <c r="F66" s="202"/>
    </row>
    <row r="67" spans="1:6" x14ac:dyDescent="0.35">
      <c r="A67" s="25"/>
      <c r="B67" s="2"/>
      <c r="C67" s="18"/>
      <c r="D67" s="25"/>
      <c r="E67" s="256"/>
      <c r="F67" s="30"/>
    </row>
    <row r="68" spans="1:6" x14ac:dyDescent="0.35">
      <c r="A68" s="25"/>
      <c r="B68" s="2"/>
      <c r="C68" s="18"/>
      <c r="D68" s="25"/>
      <c r="E68" s="256"/>
      <c r="F68" s="30"/>
    </row>
    <row r="69" spans="1:6" x14ac:dyDescent="0.35">
      <c r="A69" s="25"/>
      <c r="B69" s="2"/>
      <c r="C69" s="18"/>
      <c r="D69" s="25"/>
      <c r="E69" s="256"/>
      <c r="F69" s="30"/>
    </row>
    <row r="70" spans="1:6" x14ac:dyDescent="0.35">
      <c r="A70" s="25"/>
      <c r="B70" s="2"/>
      <c r="C70" s="18"/>
      <c r="D70" s="25"/>
      <c r="E70" s="256"/>
      <c r="F70" s="30"/>
    </row>
    <row r="71" spans="1:6" x14ac:dyDescent="0.35">
      <c r="A71" s="25"/>
      <c r="B71" s="2"/>
      <c r="C71" s="18"/>
      <c r="D71" s="25"/>
      <c r="E71" s="256"/>
      <c r="F71" s="30"/>
    </row>
    <row r="72" spans="1:6" x14ac:dyDescent="0.35">
      <c r="A72" s="25"/>
      <c r="B72" s="19"/>
      <c r="C72" s="18"/>
      <c r="D72" s="25"/>
      <c r="E72" s="256"/>
      <c r="F72" s="30"/>
    </row>
    <row r="73" spans="1:6" x14ac:dyDescent="0.35">
      <c r="A73" s="4"/>
      <c r="B73" s="6"/>
      <c r="C73" s="6"/>
      <c r="D73" s="23"/>
      <c r="E73" s="282"/>
      <c r="F73" s="31"/>
    </row>
    <row r="74" spans="1:6" x14ac:dyDescent="0.35">
      <c r="A74" s="7"/>
      <c r="B74" s="9"/>
      <c r="C74" s="9"/>
      <c r="D74" s="40" t="s">
        <v>27</v>
      </c>
      <c r="E74" s="283" t="s">
        <v>20</v>
      </c>
      <c r="F74" s="33">
        <f>SUM(F40:F72)</f>
        <v>0</v>
      </c>
    </row>
    <row r="75" spans="1:6" x14ac:dyDescent="0.35">
      <c r="A75" s="10"/>
      <c r="B75" s="12"/>
      <c r="C75" s="12"/>
      <c r="D75" s="24"/>
      <c r="E75" s="284"/>
      <c r="F75" s="34"/>
    </row>
    <row r="76" spans="1:6" x14ac:dyDescent="0.35">
      <c r="A76" s="2"/>
      <c r="B76" s="2"/>
      <c r="C76" s="18"/>
      <c r="D76" s="25"/>
      <c r="E76" s="256"/>
      <c r="F76" s="30" t="str">
        <f>IF(C76="","",(C76*E76))</f>
        <v/>
      </c>
    </row>
    <row r="77" spans="1:6" ht="18.75" customHeight="1" x14ac:dyDescent="0.35">
      <c r="A77" s="2"/>
      <c r="B77" s="22"/>
      <c r="C77" s="18"/>
      <c r="D77" s="25"/>
      <c r="E77" s="285"/>
      <c r="F77" s="30"/>
    </row>
    <row r="78" spans="1:6" x14ac:dyDescent="0.35">
      <c r="A78" s="2"/>
      <c r="B78" s="20"/>
      <c r="C78" s="18"/>
      <c r="D78" s="25"/>
      <c r="E78" s="285"/>
      <c r="F78" s="30"/>
    </row>
    <row r="79" spans="1:6" x14ac:dyDescent="0.35">
      <c r="A79" s="2"/>
      <c r="B79" s="20"/>
      <c r="C79" s="18"/>
      <c r="D79" s="25"/>
      <c r="E79" s="285"/>
      <c r="F79" s="30"/>
    </row>
    <row r="80" spans="1:6" x14ac:dyDescent="0.35">
      <c r="A80" s="2"/>
      <c r="B80" s="20"/>
      <c r="C80" s="18"/>
      <c r="D80" s="25"/>
      <c r="E80" s="285"/>
      <c r="F80" s="30"/>
    </row>
    <row r="81" spans="1:6" x14ac:dyDescent="0.35">
      <c r="A81" s="2"/>
      <c r="B81" s="20"/>
      <c r="C81" s="18"/>
      <c r="D81" s="25"/>
      <c r="E81" s="285"/>
      <c r="F81" s="30"/>
    </row>
    <row r="82" spans="1:6" x14ac:dyDescent="0.35">
      <c r="A82" s="2"/>
      <c r="B82" s="20"/>
      <c r="C82" s="18"/>
      <c r="D82" s="25"/>
      <c r="E82" s="285"/>
      <c r="F82" s="30"/>
    </row>
    <row r="83" spans="1:6" x14ac:dyDescent="0.35">
      <c r="A83" s="2"/>
      <c r="B83" s="20"/>
      <c r="C83" s="18"/>
      <c r="D83" s="25"/>
      <c r="E83" s="285"/>
      <c r="F83" s="30"/>
    </row>
    <row r="84" spans="1:6" x14ac:dyDescent="0.35">
      <c r="A84" s="2"/>
      <c r="B84" s="20"/>
      <c r="C84" s="18"/>
      <c r="D84" s="25"/>
      <c r="E84" s="285"/>
      <c r="F84" s="30"/>
    </row>
    <row r="85" spans="1:6" x14ac:dyDescent="0.35">
      <c r="A85" s="2"/>
      <c r="B85" s="20"/>
      <c r="C85" s="18"/>
      <c r="D85" s="25"/>
      <c r="E85" s="285"/>
      <c r="F85" s="30"/>
    </row>
    <row r="86" spans="1:6" x14ac:dyDescent="0.35">
      <c r="A86" s="2"/>
      <c r="B86" s="20"/>
      <c r="C86" s="18"/>
      <c r="D86" s="25"/>
      <c r="E86" s="285"/>
      <c r="F86" s="30"/>
    </row>
    <row r="87" spans="1:6" x14ac:dyDescent="0.35">
      <c r="A87" s="2"/>
      <c r="B87" s="20"/>
      <c r="C87" s="18"/>
      <c r="D87" s="25"/>
      <c r="E87" s="285"/>
      <c r="F87" s="30"/>
    </row>
    <row r="88" spans="1:6" x14ac:dyDescent="0.35">
      <c r="A88" s="2"/>
      <c r="B88" s="20"/>
      <c r="C88" s="18"/>
      <c r="D88" s="25"/>
      <c r="E88" s="285"/>
      <c r="F88" s="30"/>
    </row>
    <row r="89" spans="1:6" x14ac:dyDescent="0.35">
      <c r="A89" s="2"/>
      <c r="B89" s="20"/>
      <c r="C89" s="18"/>
      <c r="D89" s="25"/>
      <c r="E89" s="285"/>
      <c r="F89" s="30"/>
    </row>
    <row r="90" spans="1:6" x14ac:dyDescent="0.35">
      <c r="A90" s="2"/>
      <c r="B90" s="20"/>
      <c r="C90" s="18"/>
      <c r="D90" s="25"/>
      <c r="E90" s="285"/>
      <c r="F90" s="30"/>
    </row>
    <row r="91" spans="1:6" x14ac:dyDescent="0.35">
      <c r="A91" s="2"/>
      <c r="B91" s="20"/>
      <c r="C91" s="18"/>
      <c r="D91" s="25"/>
      <c r="E91" s="285"/>
      <c r="F91" s="30"/>
    </row>
    <row r="92" spans="1:6" x14ac:dyDescent="0.35">
      <c r="A92" s="2"/>
      <c r="B92" s="20"/>
      <c r="C92" s="18"/>
      <c r="D92" s="25"/>
      <c r="E92" s="285"/>
      <c r="F92" s="30"/>
    </row>
    <row r="93" spans="1:6" x14ac:dyDescent="0.35">
      <c r="A93" s="2"/>
      <c r="B93" s="20"/>
      <c r="C93" s="18"/>
      <c r="D93" s="25"/>
      <c r="E93" s="285"/>
      <c r="F93" s="30"/>
    </row>
    <row r="94" spans="1:6" x14ac:dyDescent="0.35">
      <c r="A94" s="2"/>
      <c r="B94" s="20"/>
      <c r="C94" s="18"/>
      <c r="D94" s="25"/>
      <c r="E94" s="285"/>
      <c r="F94" s="30"/>
    </row>
    <row r="95" spans="1:6" x14ac:dyDescent="0.35">
      <c r="A95" s="2"/>
      <c r="B95" s="20"/>
      <c r="C95" s="18"/>
      <c r="D95" s="25"/>
      <c r="E95" s="285"/>
      <c r="F95" s="30"/>
    </row>
    <row r="96" spans="1:6" x14ac:dyDescent="0.35">
      <c r="A96" s="2"/>
      <c r="B96" s="20"/>
      <c r="C96" s="18"/>
      <c r="D96" s="25"/>
      <c r="E96" s="285"/>
      <c r="F96" s="30"/>
    </row>
    <row r="97" spans="1:6" x14ac:dyDescent="0.35">
      <c r="A97" s="2"/>
      <c r="B97" s="20"/>
      <c r="C97" s="18"/>
      <c r="D97" s="25"/>
      <c r="E97" s="285"/>
      <c r="F97" s="30"/>
    </row>
    <row r="98" spans="1:6" x14ac:dyDescent="0.35">
      <c r="A98" s="4"/>
      <c r="B98" s="6"/>
      <c r="C98" s="6"/>
      <c r="D98" s="23"/>
      <c r="E98" s="282"/>
      <c r="F98" s="31"/>
    </row>
    <row r="99" spans="1:6" x14ac:dyDescent="0.35">
      <c r="A99" s="7"/>
      <c r="B99" s="9"/>
      <c r="C99" s="9" t="s">
        <v>21</v>
      </c>
      <c r="D99" s="21"/>
      <c r="E99" s="286"/>
      <c r="F99" s="33">
        <f>SUM(F76:F97)</f>
        <v>0</v>
      </c>
    </row>
    <row r="100" spans="1:6" x14ac:dyDescent="0.35">
      <c r="A100" s="10"/>
      <c r="B100" s="12"/>
      <c r="C100" s="12"/>
      <c r="D100" s="24"/>
      <c r="E100" s="284"/>
      <c r="F100" s="34"/>
    </row>
  </sheetData>
  <pageMargins left="0.55118110236220474" right="0.19685039370078741" top="0.35433070866141736" bottom="0.55118110236220474" header="0.19685039370078741" footer="0.39370078740157483"/>
  <pageSetup paperSize="9" scale="66" orientation="portrait" r:id="rId1"/>
  <headerFooter alignWithMargins="0">
    <oddFooter>&amp;C&amp;"Times New Roman,Regular"Page 12/&amp;P</oddFooter>
  </headerFooter>
  <rowBreaks count="2" manualBreakCount="2">
    <brk id="39" max="16383" man="1"/>
    <brk id="7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35"/>
  <sheetViews>
    <sheetView view="pageBreakPreview" zoomScaleNormal="100" zoomScaleSheetLayoutView="100" workbookViewId="0">
      <selection activeCell="E20" sqref="E20"/>
    </sheetView>
  </sheetViews>
  <sheetFormatPr defaultColWidth="9.1328125" defaultRowHeight="15.4" x14ac:dyDescent="0.35"/>
  <cols>
    <col min="1" max="1" width="6.53125" style="1" customWidth="1"/>
    <col min="2" max="2" width="50.1328125" style="1" customWidth="1"/>
    <col min="3" max="3" width="11" style="1" customWidth="1"/>
    <col min="4" max="4" width="5.46484375" style="26" customWidth="1"/>
    <col min="5" max="5" width="9.1328125" style="204"/>
    <col min="6" max="6" width="15.19921875" style="36" customWidth="1"/>
    <col min="7" max="7" width="16.796875" style="1" customWidth="1"/>
    <col min="8" max="16384" width="9.1328125" style="1"/>
  </cols>
  <sheetData>
    <row r="1" spans="1:7" x14ac:dyDescent="0.35">
      <c r="A1" s="4"/>
      <c r="B1" s="5"/>
      <c r="C1" s="4"/>
      <c r="D1" s="37"/>
      <c r="E1" s="278"/>
      <c r="F1" s="31"/>
    </row>
    <row r="2" spans="1:7" x14ac:dyDescent="0.35">
      <c r="A2" s="101" t="str">
        <f>'02 Plot Groundworks'!A2</f>
        <v>The Former Police Station, Haslingden</v>
      </c>
      <c r="B2" s="14"/>
      <c r="C2" s="13"/>
      <c r="D2" s="15" t="s">
        <v>178</v>
      </c>
      <c r="E2" s="279"/>
      <c r="F2" s="32" t="s">
        <v>38</v>
      </c>
    </row>
    <row r="3" spans="1:7" x14ac:dyDescent="0.35">
      <c r="A3" s="10"/>
      <c r="B3" s="11"/>
      <c r="C3" s="10"/>
      <c r="D3" s="61"/>
      <c r="E3" s="292"/>
      <c r="F3" s="34"/>
    </row>
    <row r="4" spans="1:7" x14ac:dyDescent="0.35">
      <c r="A4" s="29"/>
      <c r="B4" s="3" t="s">
        <v>22</v>
      </c>
      <c r="C4" s="3" t="s">
        <v>26</v>
      </c>
      <c r="D4" s="3" t="s">
        <v>23</v>
      </c>
      <c r="E4" s="281" t="s">
        <v>24</v>
      </c>
      <c r="F4" s="35" t="s">
        <v>25</v>
      </c>
      <c r="G4" s="178" t="s">
        <v>118</v>
      </c>
    </row>
    <row r="5" spans="1:7" x14ac:dyDescent="0.35">
      <c r="A5" s="25"/>
      <c r="B5" s="42"/>
      <c r="C5" s="42"/>
      <c r="D5" s="42"/>
      <c r="E5" s="293"/>
      <c r="F5" s="71"/>
    </row>
    <row r="6" spans="1:7" x14ac:dyDescent="0.35">
      <c r="A6" s="25"/>
      <c r="B6" s="43" t="s">
        <v>139</v>
      </c>
      <c r="C6" s="42"/>
      <c r="D6" s="42"/>
      <c r="E6" s="293"/>
      <c r="F6" s="71"/>
    </row>
    <row r="7" spans="1:7" x14ac:dyDescent="0.35">
      <c r="A7" s="25"/>
      <c r="B7" s="43"/>
      <c r="C7" s="42"/>
      <c r="D7" s="42"/>
      <c r="E7" s="293"/>
      <c r="F7" s="71"/>
    </row>
    <row r="8" spans="1:7" ht="15" customHeight="1" x14ac:dyDescent="0.35">
      <c r="A8" s="25" t="s">
        <v>9</v>
      </c>
      <c r="B8" s="28" t="s">
        <v>179</v>
      </c>
      <c r="C8" s="42"/>
      <c r="D8" s="42"/>
      <c r="E8" s="293"/>
      <c r="F8" s="71"/>
    </row>
    <row r="9" spans="1:7" x14ac:dyDescent="0.35">
      <c r="A9" s="25"/>
      <c r="B9" s="42"/>
      <c r="C9" s="42"/>
      <c r="D9" s="42"/>
      <c r="E9" s="293"/>
      <c r="F9" s="71"/>
    </row>
    <row r="10" spans="1:7" ht="41.65" x14ac:dyDescent="0.45">
      <c r="A10" s="65" t="s">
        <v>10</v>
      </c>
      <c r="B10" s="68" t="s">
        <v>180</v>
      </c>
      <c r="C10" s="135">
        <f>45*6</f>
        <v>270</v>
      </c>
      <c r="D10" s="136" t="s">
        <v>42</v>
      </c>
      <c r="E10" s="249">
        <v>19</v>
      </c>
      <c r="F10" s="192">
        <f t="shared" ref="F10:F42" si="0">IF(C10="","",(C10*E10))</f>
        <v>5130</v>
      </c>
    </row>
    <row r="11" spans="1:7" x14ac:dyDescent="0.45">
      <c r="A11" s="65"/>
      <c r="B11" s="68"/>
      <c r="C11" s="135"/>
      <c r="D11" s="136"/>
      <c r="E11" s="249"/>
      <c r="F11" s="192" t="str">
        <f t="shared" si="0"/>
        <v/>
      </c>
    </row>
    <row r="12" spans="1:7" ht="27.75" x14ac:dyDescent="0.45">
      <c r="A12" s="65" t="s">
        <v>11</v>
      </c>
      <c r="B12" s="68" t="s">
        <v>206</v>
      </c>
      <c r="C12" s="135">
        <f>29*6</f>
        <v>174</v>
      </c>
      <c r="D12" s="136" t="s">
        <v>30</v>
      </c>
      <c r="E12" s="249">
        <v>3</v>
      </c>
      <c r="F12" s="192">
        <f t="shared" si="0"/>
        <v>522</v>
      </c>
    </row>
    <row r="13" spans="1:7" x14ac:dyDescent="0.45">
      <c r="A13" s="65"/>
      <c r="B13" s="68"/>
      <c r="C13" s="135"/>
      <c r="D13" s="136"/>
      <c r="E13" s="249"/>
      <c r="F13" s="192" t="str">
        <f t="shared" si="0"/>
        <v/>
      </c>
    </row>
    <row r="14" spans="1:7" x14ac:dyDescent="0.45">
      <c r="A14" s="65" t="s">
        <v>12</v>
      </c>
      <c r="B14" s="68" t="s">
        <v>207</v>
      </c>
      <c r="C14" s="135">
        <v>72</v>
      </c>
      <c r="D14" s="136" t="s">
        <v>137</v>
      </c>
      <c r="E14" s="249">
        <v>45</v>
      </c>
      <c r="F14" s="192">
        <f t="shared" si="0"/>
        <v>3240</v>
      </c>
    </row>
    <row r="15" spans="1:7" x14ac:dyDescent="0.45">
      <c r="A15" s="65"/>
      <c r="B15" s="68"/>
      <c r="C15" s="135"/>
      <c r="D15" s="136"/>
      <c r="E15" s="249"/>
      <c r="F15" s="192" t="str">
        <f t="shared" si="0"/>
        <v/>
      </c>
    </row>
    <row r="16" spans="1:7" ht="27.75" x14ac:dyDescent="0.45">
      <c r="A16" s="65" t="s">
        <v>13</v>
      </c>
      <c r="B16" s="68" t="s">
        <v>208</v>
      </c>
      <c r="C16" s="135">
        <v>6</v>
      </c>
      <c r="D16" s="136" t="s">
        <v>209</v>
      </c>
      <c r="E16" s="249">
        <v>75</v>
      </c>
      <c r="F16" s="192">
        <f t="shared" si="0"/>
        <v>450</v>
      </c>
    </row>
    <row r="17" spans="1:6" x14ac:dyDescent="0.45">
      <c r="A17" s="65"/>
      <c r="B17" s="68"/>
      <c r="C17" s="135"/>
      <c r="D17" s="136"/>
      <c r="E17" s="249"/>
      <c r="F17" s="192" t="str">
        <f t="shared" si="0"/>
        <v/>
      </c>
    </row>
    <row r="18" spans="1:6" x14ac:dyDescent="0.45">
      <c r="A18" s="65" t="s">
        <v>14</v>
      </c>
      <c r="B18" s="68" t="s">
        <v>210</v>
      </c>
      <c r="C18" s="135">
        <f>C12/2+1</f>
        <v>88</v>
      </c>
      <c r="D18" s="136" t="s">
        <v>215</v>
      </c>
      <c r="E18" s="249">
        <v>2.5</v>
      </c>
      <c r="F18" s="192">
        <f t="shared" si="0"/>
        <v>220</v>
      </c>
    </row>
    <row r="19" spans="1:6" x14ac:dyDescent="0.45">
      <c r="A19" s="65"/>
      <c r="B19" s="68"/>
      <c r="C19" s="151"/>
      <c r="D19" s="152"/>
      <c r="E19" s="294"/>
      <c r="F19" s="192" t="str">
        <f t="shared" si="0"/>
        <v/>
      </c>
    </row>
    <row r="20" spans="1:6" x14ac:dyDescent="0.45">
      <c r="A20" s="65" t="s">
        <v>15</v>
      </c>
      <c r="B20" s="68" t="s">
        <v>211</v>
      </c>
      <c r="C20" s="135">
        <f>28.12*2</f>
        <v>56.24</v>
      </c>
      <c r="D20" s="136" t="s">
        <v>30</v>
      </c>
      <c r="E20" s="249">
        <v>4</v>
      </c>
      <c r="F20" s="192">
        <f t="shared" si="0"/>
        <v>224.96</v>
      </c>
    </row>
    <row r="21" spans="1:6" x14ac:dyDescent="0.45">
      <c r="A21" s="65"/>
      <c r="B21" s="64"/>
      <c r="C21" s="135"/>
      <c r="D21" s="136"/>
      <c r="E21" s="249"/>
      <c r="F21" s="192" t="str">
        <f t="shared" si="0"/>
        <v/>
      </c>
    </row>
    <row r="22" spans="1:6" x14ac:dyDescent="0.45">
      <c r="A22" s="65" t="s">
        <v>16</v>
      </c>
      <c r="B22" s="68" t="s">
        <v>212</v>
      </c>
      <c r="C22" s="135">
        <f>13*2</f>
        <v>26</v>
      </c>
      <c r="D22" s="136" t="s">
        <v>30</v>
      </c>
      <c r="E22" s="249">
        <v>4</v>
      </c>
      <c r="F22" s="192">
        <f t="shared" si="0"/>
        <v>104</v>
      </c>
    </row>
    <row r="23" spans="1:6" x14ac:dyDescent="0.45">
      <c r="A23" s="65"/>
      <c r="B23" s="68"/>
      <c r="C23" s="135"/>
      <c r="D23" s="136"/>
      <c r="E23" s="249"/>
      <c r="F23" s="192" t="str">
        <f t="shared" si="0"/>
        <v/>
      </c>
    </row>
    <row r="24" spans="1:6" x14ac:dyDescent="0.45">
      <c r="A24" s="65" t="s">
        <v>33</v>
      </c>
      <c r="B24" s="68" t="s">
        <v>213</v>
      </c>
      <c r="C24" s="135">
        <f>C20+C22</f>
        <v>82.240000000000009</v>
      </c>
      <c r="D24" s="136" t="s">
        <v>30</v>
      </c>
      <c r="E24" s="247">
        <v>4</v>
      </c>
      <c r="F24" s="192">
        <f t="shared" si="0"/>
        <v>328.96000000000004</v>
      </c>
    </row>
    <row r="25" spans="1:6" x14ac:dyDescent="0.45">
      <c r="A25" s="65"/>
      <c r="B25" s="68"/>
      <c r="C25" s="135"/>
      <c r="D25" s="136"/>
      <c r="E25" s="249"/>
      <c r="F25" s="192" t="str">
        <f t="shared" si="0"/>
        <v/>
      </c>
    </row>
    <row r="26" spans="1:6" x14ac:dyDescent="0.45">
      <c r="A26" s="65" t="s">
        <v>17</v>
      </c>
      <c r="B26" s="68" t="s">
        <v>214</v>
      </c>
      <c r="C26" s="135">
        <v>18</v>
      </c>
      <c r="D26" s="136" t="s">
        <v>137</v>
      </c>
      <c r="E26" s="247">
        <v>50</v>
      </c>
      <c r="F26" s="192">
        <f t="shared" si="0"/>
        <v>900</v>
      </c>
    </row>
    <row r="27" spans="1:6" x14ac:dyDescent="0.45">
      <c r="A27" s="65"/>
      <c r="B27" s="68"/>
      <c r="C27" s="135"/>
      <c r="D27" s="136"/>
      <c r="E27" s="247"/>
      <c r="F27" s="192" t="str">
        <f t="shared" si="0"/>
        <v/>
      </c>
    </row>
    <row r="28" spans="1:6" x14ac:dyDescent="0.45">
      <c r="A28" s="65"/>
      <c r="B28" s="64" t="s">
        <v>216</v>
      </c>
      <c r="C28" s="135"/>
      <c r="D28" s="136"/>
      <c r="E28" s="247"/>
      <c r="F28" s="192" t="str">
        <f t="shared" si="0"/>
        <v/>
      </c>
    </row>
    <row r="29" spans="1:6" x14ac:dyDescent="0.45">
      <c r="A29" s="65"/>
      <c r="B29" s="68"/>
      <c r="C29" s="135"/>
      <c r="D29" s="136"/>
      <c r="E29" s="247"/>
      <c r="F29" s="192" t="str">
        <f t="shared" si="0"/>
        <v/>
      </c>
    </row>
    <row r="30" spans="1:6" ht="27.75" x14ac:dyDescent="0.45">
      <c r="A30" s="65" t="s">
        <v>18</v>
      </c>
      <c r="B30" s="68" t="s">
        <v>461</v>
      </c>
      <c r="C30" s="135">
        <v>6</v>
      </c>
      <c r="D30" s="136" t="s">
        <v>209</v>
      </c>
      <c r="E30" s="247">
        <v>100</v>
      </c>
      <c r="F30" s="192">
        <f t="shared" si="0"/>
        <v>600</v>
      </c>
    </row>
    <row r="31" spans="1:6" x14ac:dyDescent="0.45">
      <c r="A31" s="65"/>
      <c r="B31" s="68"/>
      <c r="C31" s="135"/>
      <c r="D31" s="136"/>
      <c r="E31" s="247"/>
      <c r="F31" s="192" t="str">
        <f t="shared" si="0"/>
        <v/>
      </c>
    </row>
    <row r="32" spans="1:6" ht="27.75" x14ac:dyDescent="0.45">
      <c r="A32" s="65" t="s">
        <v>19</v>
      </c>
      <c r="B32" s="68" t="s">
        <v>217</v>
      </c>
      <c r="C32" s="135">
        <v>6</v>
      </c>
      <c r="D32" s="136" t="s">
        <v>218</v>
      </c>
      <c r="E32" s="247">
        <v>50</v>
      </c>
      <c r="F32" s="192">
        <f t="shared" si="0"/>
        <v>300</v>
      </c>
    </row>
    <row r="33" spans="1:6" x14ac:dyDescent="0.45">
      <c r="A33" s="65"/>
      <c r="B33" s="68"/>
      <c r="C33" s="135"/>
      <c r="D33" s="136"/>
      <c r="E33" s="247"/>
      <c r="F33" s="192" t="str">
        <f t="shared" si="0"/>
        <v/>
      </c>
    </row>
    <row r="34" spans="1:6" ht="27.75" x14ac:dyDescent="0.45">
      <c r="A34" s="65" t="s">
        <v>4</v>
      </c>
      <c r="B34" s="68" t="s">
        <v>219</v>
      </c>
      <c r="C34" s="135">
        <v>36</v>
      </c>
      <c r="D34" s="136" t="s">
        <v>30</v>
      </c>
      <c r="E34" s="247">
        <v>5</v>
      </c>
      <c r="F34" s="192">
        <f t="shared" si="0"/>
        <v>180</v>
      </c>
    </row>
    <row r="35" spans="1:6" x14ac:dyDescent="0.45">
      <c r="A35" s="65"/>
      <c r="B35" s="68"/>
      <c r="C35" s="135"/>
      <c r="D35" s="136"/>
      <c r="E35" s="247"/>
      <c r="F35" s="192" t="str">
        <f t="shared" si="0"/>
        <v/>
      </c>
    </row>
    <row r="36" spans="1:6" ht="27.75" x14ac:dyDescent="0.45">
      <c r="A36" s="65" t="s">
        <v>37</v>
      </c>
      <c r="B36" s="68" t="s">
        <v>220</v>
      </c>
      <c r="C36" s="135">
        <f>C34</f>
        <v>36</v>
      </c>
      <c r="D36" s="136" t="s">
        <v>30</v>
      </c>
      <c r="E36" s="247">
        <v>1</v>
      </c>
      <c r="F36" s="192">
        <f t="shared" si="0"/>
        <v>36</v>
      </c>
    </row>
    <row r="37" spans="1:6" x14ac:dyDescent="0.45">
      <c r="A37" s="65"/>
      <c r="B37" s="68"/>
      <c r="C37" s="135"/>
      <c r="D37" s="136"/>
      <c r="E37" s="247"/>
      <c r="F37" s="192" t="str">
        <f t="shared" si="0"/>
        <v/>
      </c>
    </row>
    <row r="38" spans="1:6" ht="27.75" x14ac:dyDescent="0.45">
      <c r="A38" s="65" t="s">
        <v>105</v>
      </c>
      <c r="B38" s="68" t="s">
        <v>221</v>
      </c>
      <c r="C38" s="135">
        <v>12</v>
      </c>
      <c r="D38" s="136" t="s">
        <v>222</v>
      </c>
      <c r="E38" s="247">
        <v>50</v>
      </c>
      <c r="F38" s="192">
        <f t="shared" si="0"/>
        <v>600</v>
      </c>
    </row>
    <row r="39" spans="1:6" x14ac:dyDescent="0.45">
      <c r="A39" s="65"/>
      <c r="B39" s="68"/>
      <c r="C39" s="135"/>
      <c r="D39" s="136"/>
      <c r="E39" s="247"/>
      <c r="F39" s="192" t="str">
        <f t="shared" si="0"/>
        <v/>
      </c>
    </row>
    <row r="40" spans="1:6" ht="55.5" x14ac:dyDescent="0.45">
      <c r="A40" s="65" t="s">
        <v>106</v>
      </c>
      <c r="B40" s="68" t="s">
        <v>223</v>
      </c>
      <c r="C40" s="135">
        <v>12</v>
      </c>
      <c r="D40" s="136" t="s">
        <v>215</v>
      </c>
      <c r="E40" s="247">
        <v>450</v>
      </c>
      <c r="F40" s="192">
        <f t="shared" si="0"/>
        <v>5400</v>
      </c>
    </row>
    <row r="41" spans="1:6" x14ac:dyDescent="0.45">
      <c r="A41" s="65"/>
      <c r="B41" s="68"/>
      <c r="C41" s="135"/>
      <c r="D41" s="136"/>
      <c r="E41" s="247"/>
      <c r="F41" s="192" t="str">
        <f t="shared" si="0"/>
        <v/>
      </c>
    </row>
    <row r="42" spans="1:6" x14ac:dyDescent="0.45">
      <c r="A42" s="65" t="s">
        <v>107</v>
      </c>
      <c r="B42" s="68" t="s">
        <v>224</v>
      </c>
      <c r="C42" s="135">
        <v>12</v>
      </c>
      <c r="D42" s="136" t="s">
        <v>222</v>
      </c>
      <c r="E42" s="247">
        <v>75</v>
      </c>
      <c r="F42" s="192">
        <f t="shared" si="0"/>
        <v>900</v>
      </c>
    </row>
    <row r="43" spans="1:6" x14ac:dyDescent="0.35">
      <c r="A43" s="25"/>
      <c r="B43" s="27"/>
      <c r="C43" s="18"/>
      <c r="D43" s="25"/>
      <c r="E43" s="256"/>
      <c r="F43" s="30"/>
    </row>
    <row r="44" spans="1:6" x14ac:dyDescent="0.35">
      <c r="A44" s="4"/>
      <c r="B44" s="6"/>
      <c r="C44" s="6"/>
      <c r="D44" s="23"/>
      <c r="E44" s="282"/>
      <c r="F44" s="31"/>
    </row>
    <row r="45" spans="1:6" x14ac:dyDescent="0.35">
      <c r="A45" s="7"/>
      <c r="B45" s="9"/>
      <c r="C45" s="9" t="s">
        <v>21</v>
      </c>
      <c r="D45" s="21"/>
      <c r="E45" s="286"/>
      <c r="F45" s="33">
        <f>SUM(F6:F44)</f>
        <v>19135.919999999998</v>
      </c>
    </row>
    <row r="46" spans="1:6" x14ac:dyDescent="0.35">
      <c r="A46" s="10"/>
      <c r="B46" s="12"/>
      <c r="C46" s="12"/>
      <c r="D46" s="24"/>
      <c r="E46" s="284"/>
      <c r="F46" s="34"/>
    </row>
    <row r="47" spans="1:6" x14ac:dyDescent="0.35">
      <c r="A47" s="25"/>
      <c r="B47" s="27"/>
      <c r="C47" s="18"/>
      <c r="D47" s="25"/>
      <c r="E47" s="285"/>
      <c r="F47" s="30"/>
    </row>
    <row r="48" spans="1:6" ht="30.75" x14ac:dyDescent="0.45">
      <c r="A48" s="25" t="s">
        <v>108</v>
      </c>
      <c r="B48" s="2" t="s">
        <v>225</v>
      </c>
      <c r="C48" s="135">
        <v>12</v>
      </c>
      <c r="D48" s="136" t="s">
        <v>215</v>
      </c>
      <c r="E48" s="305">
        <v>20</v>
      </c>
      <c r="F48" s="192">
        <f t="shared" ref="F48:F78" si="1">IF(C48="","",(C48*E48))</f>
        <v>240</v>
      </c>
    </row>
    <row r="49" spans="1:6" x14ac:dyDescent="0.45">
      <c r="A49" s="25"/>
      <c r="B49" s="20"/>
      <c r="C49" s="135"/>
      <c r="D49" s="136"/>
      <c r="E49" s="305"/>
      <c r="F49" s="192" t="str">
        <f t="shared" si="1"/>
        <v/>
      </c>
    </row>
    <row r="50" spans="1:6" ht="30.75" x14ac:dyDescent="0.45">
      <c r="A50" s="25" t="s">
        <v>109</v>
      </c>
      <c r="B50" s="2" t="s">
        <v>226</v>
      </c>
      <c r="C50" s="135">
        <f>38*6</f>
        <v>228</v>
      </c>
      <c r="D50" s="136" t="s">
        <v>30</v>
      </c>
      <c r="E50" s="305">
        <v>12</v>
      </c>
      <c r="F50" s="192">
        <f t="shared" si="1"/>
        <v>2736</v>
      </c>
    </row>
    <row r="51" spans="1:6" x14ac:dyDescent="0.45">
      <c r="A51" s="25"/>
      <c r="B51" s="20"/>
      <c r="C51" s="135"/>
      <c r="D51" s="136"/>
      <c r="E51" s="305"/>
      <c r="F51" s="192" t="str">
        <f t="shared" si="1"/>
        <v/>
      </c>
    </row>
    <row r="52" spans="1:6" x14ac:dyDescent="0.45">
      <c r="A52" s="25" t="s">
        <v>110</v>
      </c>
      <c r="B52" s="2" t="s">
        <v>227</v>
      </c>
      <c r="C52" s="135">
        <f>C50</f>
        <v>228</v>
      </c>
      <c r="D52" s="136" t="s">
        <v>30</v>
      </c>
      <c r="E52" s="305">
        <v>6</v>
      </c>
      <c r="F52" s="192">
        <f t="shared" si="1"/>
        <v>1368</v>
      </c>
    </row>
    <row r="53" spans="1:6" x14ac:dyDescent="0.45">
      <c r="A53" s="25"/>
      <c r="B53" s="20"/>
      <c r="C53" s="135"/>
      <c r="D53" s="136"/>
      <c r="E53" s="305"/>
      <c r="F53" s="192" t="str">
        <f t="shared" si="1"/>
        <v/>
      </c>
    </row>
    <row r="54" spans="1:6" ht="30.75" x14ac:dyDescent="0.45">
      <c r="A54" s="25" t="s">
        <v>111</v>
      </c>
      <c r="B54" s="2" t="s">
        <v>228</v>
      </c>
      <c r="C54" s="135">
        <v>6</v>
      </c>
      <c r="D54" s="136" t="s">
        <v>209</v>
      </c>
      <c r="E54" s="305">
        <v>50</v>
      </c>
      <c r="F54" s="192">
        <f t="shared" si="1"/>
        <v>300</v>
      </c>
    </row>
    <row r="55" spans="1:6" x14ac:dyDescent="0.45">
      <c r="A55" s="25"/>
      <c r="B55" s="20"/>
      <c r="C55" s="135"/>
      <c r="D55" s="136"/>
      <c r="E55" s="305"/>
      <c r="F55" s="192" t="str">
        <f t="shared" si="1"/>
        <v/>
      </c>
    </row>
    <row r="56" spans="1:6" ht="46.15" x14ac:dyDescent="0.45">
      <c r="A56" s="25" t="s">
        <v>112</v>
      </c>
      <c r="B56" s="2" t="s">
        <v>229</v>
      </c>
      <c r="C56" s="135">
        <v>6</v>
      </c>
      <c r="D56" s="136" t="s">
        <v>215</v>
      </c>
      <c r="E56" s="305">
        <v>25</v>
      </c>
      <c r="F56" s="192">
        <f t="shared" si="1"/>
        <v>150</v>
      </c>
    </row>
    <row r="57" spans="1:6" x14ac:dyDescent="0.45">
      <c r="A57" s="25"/>
      <c r="B57" s="20"/>
      <c r="C57" s="135"/>
      <c r="D57" s="136"/>
      <c r="E57" s="305"/>
      <c r="F57" s="192" t="str">
        <f t="shared" si="1"/>
        <v/>
      </c>
    </row>
    <row r="58" spans="1:6" ht="30.75" x14ac:dyDescent="0.45">
      <c r="A58" s="25" t="s">
        <v>191</v>
      </c>
      <c r="B58" s="2" t="s">
        <v>230</v>
      </c>
      <c r="C58" s="135">
        <v>6</v>
      </c>
      <c r="D58" s="136" t="s">
        <v>215</v>
      </c>
      <c r="E58" s="305">
        <v>50</v>
      </c>
      <c r="F58" s="192">
        <f t="shared" si="1"/>
        <v>300</v>
      </c>
    </row>
    <row r="59" spans="1:6" x14ac:dyDescent="0.45">
      <c r="A59" s="25"/>
      <c r="B59" s="20"/>
      <c r="C59" s="135"/>
      <c r="D59" s="136"/>
      <c r="E59" s="305"/>
      <c r="F59" s="192" t="str">
        <f t="shared" si="1"/>
        <v/>
      </c>
    </row>
    <row r="60" spans="1:6" x14ac:dyDescent="0.45">
      <c r="A60" s="25"/>
      <c r="B60" s="19" t="s">
        <v>231</v>
      </c>
      <c r="C60" s="135"/>
      <c r="D60" s="136"/>
      <c r="E60" s="305"/>
      <c r="F60" s="192" t="str">
        <f t="shared" si="1"/>
        <v/>
      </c>
    </row>
    <row r="61" spans="1:6" x14ac:dyDescent="0.45">
      <c r="A61" s="25"/>
      <c r="B61" s="20"/>
      <c r="C61" s="135"/>
      <c r="D61" s="136"/>
      <c r="E61" s="305"/>
      <c r="F61" s="192" t="str">
        <f t="shared" si="1"/>
        <v/>
      </c>
    </row>
    <row r="62" spans="1:6" ht="30.75" x14ac:dyDescent="0.45">
      <c r="A62" s="25" t="s">
        <v>192</v>
      </c>
      <c r="B62" s="2" t="s">
        <v>232</v>
      </c>
      <c r="C62" s="135">
        <f>116*6</f>
        <v>696</v>
      </c>
      <c r="D62" s="136" t="s">
        <v>30</v>
      </c>
      <c r="E62" s="305">
        <v>5.5</v>
      </c>
      <c r="F62" s="192">
        <f t="shared" si="1"/>
        <v>3828</v>
      </c>
    </row>
    <row r="63" spans="1:6" x14ac:dyDescent="0.45">
      <c r="A63" s="25"/>
      <c r="B63" s="20"/>
      <c r="C63" s="135"/>
      <c r="D63" s="136"/>
      <c r="E63" s="305"/>
      <c r="F63" s="192" t="str">
        <f t="shared" si="1"/>
        <v/>
      </c>
    </row>
    <row r="64" spans="1:6" x14ac:dyDescent="0.45">
      <c r="A64" s="25" t="s">
        <v>193</v>
      </c>
      <c r="B64" s="2" t="s">
        <v>233</v>
      </c>
      <c r="C64" s="135">
        <v>66</v>
      </c>
      <c r="D64" s="136" t="s">
        <v>215</v>
      </c>
      <c r="E64" s="305">
        <v>15</v>
      </c>
      <c r="F64" s="192">
        <f t="shared" si="1"/>
        <v>990</v>
      </c>
    </row>
    <row r="65" spans="1:6" x14ac:dyDescent="0.45">
      <c r="A65" s="25"/>
      <c r="B65" s="20"/>
      <c r="C65" s="135"/>
      <c r="D65" s="136"/>
      <c r="E65" s="305"/>
      <c r="F65" s="192" t="str">
        <f t="shared" si="1"/>
        <v/>
      </c>
    </row>
    <row r="66" spans="1:6" x14ac:dyDescent="0.45">
      <c r="A66" s="25" t="s">
        <v>194</v>
      </c>
      <c r="B66" s="2" t="s">
        <v>234</v>
      </c>
      <c r="C66" s="135">
        <v>66</v>
      </c>
      <c r="D66" s="136" t="s">
        <v>218</v>
      </c>
      <c r="E66" s="305">
        <v>1</v>
      </c>
      <c r="F66" s="192">
        <f t="shared" si="1"/>
        <v>66</v>
      </c>
    </row>
    <row r="67" spans="1:6" x14ac:dyDescent="0.45">
      <c r="A67" s="25"/>
      <c r="B67" s="20"/>
      <c r="C67" s="135"/>
      <c r="D67" s="136"/>
      <c r="E67" s="305"/>
      <c r="F67" s="192" t="str">
        <f t="shared" si="1"/>
        <v/>
      </c>
    </row>
    <row r="68" spans="1:6" x14ac:dyDescent="0.45">
      <c r="A68" s="25" t="s">
        <v>195</v>
      </c>
      <c r="B68" s="2" t="s">
        <v>235</v>
      </c>
      <c r="C68" s="135">
        <v>66</v>
      </c>
      <c r="D68" s="136" t="s">
        <v>218</v>
      </c>
      <c r="E68" s="305">
        <v>5</v>
      </c>
      <c r="F68" s="192">
        <f t="shared" si="1"/>
        <v>330</v>
      </c>
    </row>
    <row r="69" spans="1:6" x14ac:dyDescent="0.45">
      <c r="A69" s="25"/>
      <c r="B69" s="20"/>
      <c r="C69" s="135"/>
      <c r="D69" s="136"/>
      <c r="E69" s="305"/>
      <c r="F69" s="192" t="str">
        <f t="shared" si="1"/>
        <v/>
      </c>
    </row>
    <row r="70" spans="1:6" x14ac:dyDescent="0.45">
      <c r="A70" s="25" t="s">
        <v>196</v>
      </c>
      <c r="B70" s="2" t="s">
        <v>236</v>
      </c>
      <c r="C70" s="135">
        <v>66</v>
      </c>
      <c r="D70" s="136" t="s">
        <v>215</v>
      </c>
      <c r="E70" s="305">
        <v>35</v>
      </c>
      <c r="F70" s="192">
        <f t="shared" si="1"/>
        <v>2310</v>
      </c>
    </row>
    <row r="71" spans="1:6" x14ac:dyDescent="0.45">
      <c r="A71" s="25"/>
      <c r="B71" s="20"/>
      <c r="C71" s="135"/>
      <c r="D71" s="136"/>
      <c r="E71" s="305"/>
      <c r="F71" s="192" t="str">
        <f t="shared" si="1"/>
        <v/>
      </c>
    </row>
    <row r="72" spans="1:6" ht="30.75" x14ac:dyDescent="0.45">
      <c r="A72" s="25" t="s">
        <v>197</v>
      </c>
      <c r="B72" s="2" t="s">
        <v>237</v>
      </c>
      <c r="C72" s="135">
        <v>48</v>
      </c>
      <c r="D72" s="136" t="s">
        <v>215</v>
      </c>
      <c r="E72" s="305">
        <v>8</v>
      </c>
      <c r="F72" s="192">
        <f t="shared" si="1"/>
        <v>384</v>
      </c>
    </row>
    <row r="73" spans="1:6" x14ac:dyDescent="0.45">
      <c r="A73" s="25"/>
      <c r="B73" s="27"/>
      <c r="C73" s="135"/>
      <c r="D73" s="136"/>
      <c r="E73" s="305"/>
      <c r="F73" s="192" t="str">
        <f t="shared" si="1"/>
        <v/>
      </c>
    </row>
    <row r="74" spans="1:6" x14ac:dyDescent="0.45">
      <c r="A74" s="25" t="s">
        <v>198</v>
      </c>
      <c r="B74" s="2" t="s">
        <v>238</v>
      </c>
      <c r="C74" s="135">
        <v>66</v>
      </c>
      <c r="D74" s="136" t="s">
        <v>215</v>
      </c>
      <c r="E74" s="305">
        <v>5</v>
      </c>
      <c r="F74" s="192">
        <f t="shared" si="1"/>
        <v>330</v>
      </c>
    </row>
    <row r="75" spans="1:6" x14ac:dyDescent="0.45">
      <c r="A75" s="25"/>
      <c r="B75" s="27"/>
      <c r="C75" s="135"/>
      <c r="D75" s="136"/>
      <c r="E75" s="305"/>
      <c r="F75" s="192" t="str">
        <f t="shared" si="1"/>
        <v/>
      </c>
    </row>
    <row r="76" spans="1:6" x14ac:dyDescent="0.45">
      <c r="A76" s="25" t="s">
        <v>200</v>
      </c>
      <c r="B76" s="27" t="s">
        <v>239</v>
      </c>
      <c r="C76" s="135">
        <v>18</v>
      </c>
      <c r="D76" s="136" t="s">
        <v>215</v>
      </c>
      <c r="E76" s="305">
        <v>2</v>
      </c>
      <c r="F76" s="192">
        <f t="shared" si="1"/>
        <v>36</v>
      </c>
    </row>
    <row r="77" spans="1:6" x14ac:dyDescent="0.45">
      <c r="A77" s="25"/>
      <c r="B77" s="27"/>
      <c r="C77" s="135"/>
      <c r="D77" s="136"/>
      <c r="E77" s="305"/>
      <c r="F77" s="192" t="str">
        <f t="shared" si="1"/>
        <v/>
      </c>
    </row>
    <row r="78" spans="1:6" ht="30.75" x14ac:dyDescent="0.45">
      <c r="A78" s="25" t="s">
        <v>201</v>
      </c>
      <c r="B78" s="27" t="s">
        <v>240</v>
      </c>
      <c r="C78" s="135">
        <v>12</v>
      </c>
      <c r="D78" s="136" t="s">
        <v>215</v>
      </c>
      <c r="E78" s="305">
        <v>25</v>
      </c>
      <c r="F78" s="192">
        <f t="shared" si="1"/>
        <v>300</v>
      </c>
    </row>
    <row r="79" spans="1:6" x14ac:dyDescent="0.35">
      <c r="A79" s="25"/>
      <c r="B79" s="27"/>
      <c r="C79" s="18"/>
      <c r="D79" s="25"/>
      <c r="E79" s="285"/>
      <c r="F79" s="30"/>
    </row>
    <row r="80" spans="1:6" x14ac:dyDescent="0.35">
      <c r="A80" s="4"/>
      <c r="B80" s="6"/>
      <c r="C80" s="6"/>
      <c r="D80" s="23"/>
      <c r="E80" s="282"/>
      <c r="F80" s="31"/>
    </row>
    <row r="81" spans="1:7" x14ac:dyDescent="0.35">
      <c r="A81" s="7"/>
      <c r="B81" s="9"/>
      <c r="C81" s="9" t="s">
        <v>21</v>
      </c>
      <c r="D81" s="21"/>
      <c r="E81" s="286"/>
      <c r="F81" s="33">
        <f>SUM(F47:F79)</f>
        <v>13668</v>
      </c>
    </row>
    <row r="82" spans="1:7" x14ac:dyDescent="0.35">
      <c r="A82" s="10"/>
      <c r="B82" s="12"/>
      <c r="C82" s="12"/>
      <c r="D82" s="24"/>
      <c r="E82" s="284"/>
      <c r="F82" s="34"/>
    </row>
    <row r="83" spans="1:7" x14ac:dyDescent="0.35">
      <c r="A83" s="49"/>
      <c r="B83" s="49"/>
      <c r="C83" s="49"/>
      <c r="D83" s="323"/>
      <c r="E83" s="324"/>
      <c r="F83" s="325"/>
      <c r="G83" s="49"/>
    </row>
    <row r="84" spans="1:7" x14ac:dyDescent="0.35">
      <c r="A84" s="25"/>
      <c r="B84" s="27"/>
      <c r="C84" s="18"/>
      <c r="D84" s="25"/>
      <c r="E84" s="285"/>
      <c r="F84" s="30"/>
    </row>
    <row r="85" spans="1:7" ht="30.75" x14ac:dyDescent="0.45">
      <c r="A85" s="25" t="s">
        <v>202</v>
      </c>
      <c r="B85" s="2" t="s">
        <v>241</v>
      </c>
      <c r="C85" s="135">
        <f>12*6</f>
        <v>72</v>
      </c>
      <c r="D85" s="136" t="s">
        <v>30</v>
      </c>
      <c r="E85" s="305">
        <v>15</v>
      </c>
      <c r="F85" s="192">
        <f t="shared" ref="F85:F115" si="2">IF(C85="","",(C85*E85))</f>
        <v>1080</v>
      </c>
    </row>
    <row r="86" spans="1:7" x14ac:dyDescent="0.45">
      <c r="A86" s="25"/>
      <c r="B86" s="20"/>
      <c r="C86" s="135"/>
      <c r="D86" s="136"/>
      <c r="E86" s="305"/>
      <c r="F86" s="192" t="str">
        <f t="shared" si="2"/>
        <v/>
      </c>
    </row>
    <row r="87" spans="1:7" ht="30.75" x14ac:dyDescent="0.45">
      <c r="A87" s="25" t="s">
        <v>203</v>
      </c>
      <c r="B87" s="2" t="s">
        <v>242</v>
      </c>
      <c r="C87" s="135"/>
      <c r="D87" s="136" t="s">
        <v>30</v>
      </c>
      <c r="E87" s="305"/>
      <c r="F87" s="192" t="str">
        <f t="shared" si="2"/>
        <v/>
      </c>
      <c r="G87" s="1" t="s">
        <v>460</v>
      </c>
    </row>
    <row r="88" spans="1:7" x14ac:dyDescent="0.45">
      <c r="A88" s="25"/>
      <c r="B88" s="20"/>
      <c r="C88" s="135"/>
      <c r="D88" s="136"/>
      <c r="E88" s="305"/>
      <c r="F88" s="192" t="str">
        <f t="shared" si="2"/>
        <v/>
      </c>
    </row>
    <row r="89" spans="1:7" x14ac:dyDescent="0.45">
      <c r="A89" s="25"/>
      <c r="B89" s="19" t="s">
        <v>243</v>
      </c>
      <c r="C89" s="135"/>
      <c r="D89" s="136"/>
      <c r="E89" s="305"/>
      <c r="F89" s="192" t="str">
        <f t="shared" si="2"/>
        <v/>
      </c>
    </row>
    <row r="90" spans="1:7" x14ac:dyDescent="0.45">
      <c r="A90" s="25"/>
      <c r="B90" s="20"/>
      <c r="C90" s="135"/>
      <c r="D90" s="136"/>
      <c r="E90" s="305"/>
      <c r="F90" s="192" t="str">
        <f t="shared" si="2"/>
        <v/>
      </c>
    </row>
    <row r="91" spans="1:7" ht="30.75" x14ac:dyDescent="0.45">
      <c r="A91" s="25" t="s">
        <v>204</v>
      </c>
      <c r="B91" s="2" t="s">
        <v>244</v>
      </c>
      <c r="C91" s="135">
        <v>6</v>
      </c>
      <c r="D91" s="136" t="s">
        <v>215</v>
      </c>
      <c r="E91" s="305">
        <v>10</v>
      </c>
      <c r="F91" s="192">
        <f t="shared" si="2"/>
        <v>60</v>
      </c>
    </row>
    <row r="92" spans="1:7" x14ac:dyDescent="0.45">
      <c r="A92" s="25"/>
      <c r="B92" s="20"/>
      <c r="C92" s="135"/>
      <c r="D92" s="136"/>
      <c r="E92" s="305"/>
      <c r="F92" s="192" t="str">
        <f t="shared" si="2"/>
        <v/>
      </c>
    </row>
    <row r="93" spans="1:7" x14ac:dyDescent="0.45">
      <c r="A93" s="25" t="s">
        <v>205</v>
      </c>
      <c r="B93" s="2" t="s">
        <v>245</v>
      </c>
      <c r="C93" s="135">
        <v>6</v>
      </c>
      <c r="D93" s="136" t="s">
        <v>215</v>
      </c>
      <c r="E93" s="305">
        <v>10</v>
      </c>
      <c r="F93" s="192">
        <f t="shared" si="2"/>
        <v>60</v>
      </c>
    </row>
    <row r="94" spans="1:7" x14ac:dyDescent="0.45">
      <c r="A94" s="25"/>
      <c r="B94" s="20"/>
      <c r="C94" s="135"/>
      <c r="D94" s="136"/>
      <c r="E94" s="305"/>
      <c r="F94" s="192" t="str">
        <f t="shared" si="2"/>
        <v/>
      </c>
    </row>
    <row r="95" spans="1:7" x14ac:dyDescent="0.45">
      <c r="A95" s="25" t="s">
        <v>253</v>
      </c>
      <c r="B95" s="2" t="s">
        <v>246</v>
      </c>
      <c r="C95" s="135">
        <v>6</v>
      </c>
      <c r="D95" s="136" t="s">
        <v>215</v>
      </c>
      <c r="E95" s="305">
        <v>10</v>
      </c>
      <c r="F95" s="192">
        <f t="shared" si="2"/>
        <v>60</v>
      </c>
    </row>
    <row r="96" spans="1:7" x14ac:dyDescent="0.45">
      <c r="A96" s="25"/>
      <c r="B96" s="20"/>
      <c r="C96" s="135"/>
      <c r="D96" s="136"/>
      <c r="E96" s="305"/>
      <c r="F96" s="192" t="str">
        <f t="shared" si="2"/>
        <v/>
      </c>
    </row>
    <row r="97" spans="1:6" ht="30.75" x14ac:dyDescent="0.45">
      <c r="A97" s="25" t="s">
        <v>254</v>
      </c>
      <c r="B97" s="2" t="s">
        <v>247</v>
      </c>
      <c r="C97" s="135">
        <f>C74</f>
        <v>66</v>
      </c>
      <c r="D97" s="136" t="s">
        <v>215</v>
      </c>
      <c r="E97" s="305">
        <v>10</v>
      </c>
      <c r="F97" s="192">
        <f t="shared" si="2"/>
        <v>660</v>
      </c>
    </row>
    <row r="98" spans="1:6" x14ac:dyDescent="0.45">
      <c r="A98" s="25"/>
      <c r="B98" s="20"/>
      <c r="C98" s="135"/>
      <c r="D98" s="136"/>
      <c r="E98" s="305"/>
      <c r="F98" s="192" t="str">
        <f t="shared" si="2"/>
        <v/>
      </c>
    </row>
    <row r="99" spans="1:6" x14ac:dyDescent="0.45">
      <c r="A99" s="25" t="s">
        <v>255</v>
      </c>
      <c r="B99" s="2" t="s">
        <v>248</v>
      </c>
      <c r="C99" s="135">
        <v>18</v>
      </c>
      <c r="D99" s="136" t="s">
        <v>215</v>
      </c>
      <c r="E99" s="305">
        <v>10</v>
      </c>
      <c r="F99" s="192">
        <f t="shared" si="2"/>
        <v>180</v>
      </c>
    </row>
    <row r="100" spans="1:6" x14ac:dyDescent="0.45">
      <c r="A100" s="25"/>
      <c r="B100" s="20"/>
      <c r="C100" s="135"/>
      <c r="D100" s="136"/>
      <c r="E100" s="305"/>
      <c r="F100" s="192" t="str">
        <f t="shared" si="2"/>
        <v/>
      </c>
    </row>
    <row r="101" spans="1:6" x14ac:dyDescent="0.45">
      <c r="A101" s="25" t="s">
        <v>256</v>
      </c>
      <c r="B101" s="2" t="s">
        <v>249</v>
      </c>
      <c r="C101" s="135">
        <v>66</v>
      </c>
      <c r="D101" s="136" t="s">
        <v>215</v>
      </c>
      <c r="E101" s="305">
        <v>4.5</v>
      </c>
      <c r="F101" s="192">
        <f t="shared" si="2"/>
        <v>297</v>
      </c>
    </row>
    <row r="102" spans="1:6" x14ac:dyDescent="0.45">
      <c r="A102" s="25"/>
      <c r="B102" s="20"/>
      <c r="C102" s="135"/>
      <c r="D102" s="136"/>
      <c r="E102" s="305"/>
      <c r="F102" s="192" t="str">
        <f t="shared" si="2"/>
        <v/>
      </c>
    </row>
    <row r="103" spans="1:6" x14ac:dyDescent="0.45">
      <c r="A103" s="25" t="s">
        <v>257</v>
      </c>
      <c r="B103" s="2" t="s">
        <v>250</v>
      </c>
      <c r="C103" s="135">
        <v>6</v>
      </c>
      <c r="D103" s="136" t="s">
        <v>209</v>
      </c>
      <c r="E103" s="305">
        <v>140</v>
      </c>
      <c r="F103" s="192">
        <f t="shared" si="2"/>
        <v>840</v>
      </c>
    </row>
    <row r="104" spans="1:6" x14ac:dyDescent="0.45">
      <c r="A104" s="25"/>
      <c r="B104" s="20"/>
      <c r="C104" s="135"/>
      <c r="D104" s="136"/>
      <c r="E104" s="305"/>
      <c r="F104" s="192" t="str">
        <f t="shared" si="2"/>
        <v/>
      </c>
    </row>
    <row r="105" spans="1:6" x14ac:dyDescent="0.45">
      <c r="A105" s="25"/>
      <c r="B105" s="19" t="s">
        <v>251</v>
      </c>
      <c r="C105" s="135"/>
      <c r="D105" s="136"/>
      <c r="E105" s="305"/>
      <c r="F105" s="192" t="str">
        <f t="shared" si="2"/>
        <v/>
      </c>
    </row>
    <row r="106" spans="1:6" x14ac:dyDescent="0.45">
      <c r="A106" s="25"/>
      <c r="B106" s="20"/>
      <c r="C106" s="135"/>
      <c r="D106" s="136"/>
      <c r="E106" s="305"/>
      <c r="F106" s="192" t="str">
        <f t="shared" si="2"/>
        <v/>
      </c>
    </row>
    <row r="107" spans="1:6" ht="46.15" x14ac:dyDescent="0.45">
      <c r="A107" s="25" t="s">
        <v>258</v>
      </c>
      <c r="B107" s="2" t="s">
        <v>252</v>
      </c>
      <c r="C107" s="135">
        <v>3</v>
      </c>
      <c r="D107" s="136" t="s">
        <v>137</v>
      </c>
      <c r="E107" s="305">
        <v>300</v>
      </c>
      <c r="F107" s="192">
        <f t="shared" si="2"/>
        <v>900</v>
      </c>
    </row>
    <row r="108" spans="1:6" x14ac:dyDescent="0.45">
      <c r="A108" s="25"/>
      <c r="B108" s="20"/>
      <c r="C108" s="135"/>
      <c r="D108" s="136"/>
      <c r="E108" s="305"/>
      <c r="F108" s="192" t="str">
        <f t="shared" si="2"/>
        <v/>
      </c>
    </row>
    <row r="109" spans="1:6" x14ac:dyDescent="0.45">
      <c r="A109" s="25"/>
      <c r="B109" s="2"/>
      <c r="C109" s="135"/>
      <c r="D109" s="136"/>
      <c r="E109" s="305"/>
      <c r="F109" s="192" t="str">
        <f t="shared" si="2"/>
        <v/>
      </c>
    </row>
    <row r="110" spans="1:6" x14ac:dyDescent="0.45">
      <c r="A110" s="25"/>
      <c r="B110" s="27"/>
      <c r="C110" s="135"/>
      <c r="D110" s="136"/>
      <c r="E110" s="305"/>
      <c r="F110" s="192" t="str">
        <f t="shared" si="2"/>
        <v/>
      </c>
    </row>
    <row r="111" spans="1:6" x14ac:dyDescent="0.45">
      <c r="A111" s="25"/>
      <c r="B111" s="2"/>
      <c r="C111" s="135"/>
      <c r="D111" s="136"/>
      <c r="E111" s="305"/>
      <c r="F111" s="192" t="str">
        <f t="shared" si="2"/>
        <v/>
      </c>
    </row>
    <row r="112" spans="1:6" x14ac:dyDescent="0.45">
      <c r="A112" s="25"/>
      <c r="B112" s="27"/>
      <c r="C112" s="135"/>
      <c r="D112" s="136"/>
      <c r="E112" s="305"/>
      <c r="F112" s="192" t="str">
        <f t="shared" si="2"/>
        <v/>
      </c>
    </row>
    <row r="113" spans="1:6" x14ac:dyDescent="0.45">
      <c r="A113" s="25"/>
      <c r="B113" s="27"/>
      <c r="C113" s="135"/>
      <c r="D113" s="136"/>
      <c r="E113" s="305"/>
      <c r="F113" s="192" t="str">
        <f t="shared" si="2"/>
        <v/>
      </c>
    </row>
    <row r="114" spans="1:6" x14ac:dyDescent="0.45">
      <c r="A114" s="25"/>
      <c r="B114" s="27"/>
      <c r="C114" s="135"/>
      <c r="D114" s="136"/>
      <c r="E114" s="305"/>
      <c r="F114" s="192" t="str">
        <f t="shared" si="2"/>
        <v/>
      </c>
    </row>
    <row r="115" spans="1:6" x14ac:dyDescent="0.45">
      <c r="A115" s="25"/>
      <c r="B115" s="27"/>
      <c r="C115" s="135"/>
      <c r="D115" s="136"/>
      <c r="E115" s="305"/>
      <c r="F115" s="192" t="str">
        <f t="shared" si="2"/>
        <v/>
      </c>
    </row>
    <row r="116" spans="1:6" x14ac:dyDescent="0.45">
      <c r="A116" s="25"/>
      <c r="B116" s="27"/>
      <c r="C116" s="135"/>
      <c r="D116" s="136"/>
      <c r="E116" s="305"/>
      <c r="F116" s="192"/>
    </row>
    <row r="117" spans="1:6" x14ac:dyDescent="0.35">
      <c r="A117" s="4"/>
      <c r="B117" s="6"/>
      <c r="C117" s="6"/>
      <c r="D117" s="23"/>
      <c r="E117" s="282"/>
      <c r="F117" s="31"/>
    </row>
    <row r="118" spans="1:6" x14ac:dyDescent="0.35">
      <c r="A118" s="7"/>
      <c r="B118" s="9"/>
      <c r="C118" s="9" t="s">
        <v>21</v>
      </c>
      <c r="D118" s="21"/>
      <c r="E118" s="286"/>
      <c r="F118" s="33">
        <f>SUM(F84:F116)</f>
        <v>4137</v>
      </c>
    </row>
    <row r="119" spans="1:6" x14ac:dyDescent="0.35">
      <c r="A119" s="10"/>
      <c r="B119" s="12"/>
      <c r="C119" s="12"/>
      <c r="D119" s="24"/>
      <c r="E119" s="284"/>
      <c r="F119" s="34"/>
    </row>
    <row r="120" spans="1:6" x14ac:dyDescent="0.35">
      <c r="A120" s="29"/>
      <c r="B120" s="3" t="s">
        <v>22</v>
      </c>
      <c r="C120" s="3" t="s">
        <v>26</v>
      </c>
      <c r="D120" s="3" t="s">
        <v>23</v>
      </c>
      <c r="E120" s="281" t="s">
        <v>24</v>
      </c>
      <c r="F120" s="35" t="s">
        <v>25</v>
      </c>
    </row>
    <row r="121" spans="1:6" x14ac:dyDescent="0.35">
      <c r="A121" s="25"/>
      <c r="B121" s="42"/>
      <c r="C121" s="42"/>
      <c r="D121" s="42"/>
      <c r="E121" s="293"/>
      <c r="F121" s="71"/>
    </row>
    <row r="122" spans="1:6" x14ac:dyDescent="0.45">
      <c r="A122" s="25"/>
      <c r="B122" s="43" t="s">
        <v>138</v>
      </c>
      <c r="C122" s="180"/>
      <c r="D122" s="180"/>
      <c r="E122" s="340"/>
      <c r="F122" s="192" t="str">
        <f t="shared" ref="F122:F158" si="3">IF(C122="","",(C122*E122))</f>
        <v/>
      </c>
    </row>
    <row r="123" spans="1:6" x14ac:dyDescent="0.45">
      <c r="A123" s="25"/>
      <c r="B123" s="43"/>
      <c r="C123" s="180"/>
      <c r="D123" s="180"/>
      <c r="E123" s="340"/>
      <c r="F123" s="192" t="str">
        <f t="shared" si="3"/>
        <v/>
      </c>
    </row>
    <row r="124" spans="1:6" x14ac:dyDescent="0.45">
      <c r="A124" s="25" t="s">
        <v>259</v>
      </c>
      <c r="B124" s="28" t="s">
        <v>179</v>
      </c>
      <c r="C124" s="180"/>
      <c r="D124" s="180"/>
      <c r="E124" s="340"/>
      <c r="F124" s="192" t="str">
        <f t="shared" si="3"/>
        <v/>
      </c>
    </row>
    <row r="125" spans="1:6" x14ac:dyDescent="0.45">
      <c r="A125" s="25"/>
      <c r="B125" s="42"/>
      <c r="C125" s="180"/>
      <c r="D125" s="180"/>
      <c r="E125" s="340"/>
      <c r="F125" s="192" t="str">
        <f t="shared" si="3"/>
        <v/>
      </c>
    </row>
    <row r="126" spans="1:6" ht="41.65" x14ac:dyDescent="0.45">
      <c r="A126" s="65" t="s">
        <v>260</v>
      </c>
      <c r="B126" s="68" t="s">
        <v>180</v>
      </c>
      <c r="C126" s="135">
        <v>89</v>
      </c>
      <c r="D126" s="136" t="s">
        <v>42</v>
      </c>
      <c r="E126" s="249">
        <v>19</v>
      </c>
      <c r="F126" s="192">
        <f t="shared" si="3"/>
        <v>1691</v>
      </c>
    </row>
    <row r="127" spans="1:6" x14ac:dyDescent="0.45">
      <c r="A127" s="65"/>
      <c r="B127" s="68"/>
      <c r="C127" s="135"/>
      <c r="D127" s="136"/>
      <c r="E127" s="249"/>
      <c r="F127" s="192" t="str">
        <f t="shared" si="3"/>
        <v/>
      </c>
    </row>
    <row r="128" spans="1:6" ht="27.75" x14ac:dyDescent="0.45">
      <c r="A128" s="65" t="s">
        <v>261</v>
      </c>
      <c r="B128" s="68" t="s">
        <v>206</v>
      </c>
      <c r="C128" s="135">
        <f>27*2</f>
        <v>54</v>
      </c>
      <c r="D128" s="136" t="s">
        <v>30</v>
      </c>
      <c r="E128" s="249">
        <v>3</v>
      </c>
      <c r="F128" s="192">
        <f t="shared" si="3"/>
        <v>162</v>
      </c>
    </row>
    <row r="129" spans="1:6" x14ac:dyDescent="0.45">
      <c r="A129" s="65"/>
      <c r="B129" s="68"/>
      <c r="C129" s="135"/>
      <c r="D129" s="136"/>
      <c r="E129" s="249"/>
      <c r="F129" s="192" t="str">
        <f t="shared" si="3"/>
        <v/>
      </c>
    </row>
    <row r="130" spans="1:6" x14ac:dyDescent="0.45">
      <c r="A130" s="65" t="s">
        <v>262</v>
      </c>
      <c r="B130" s="68" t="s">
        <v>207</v>
      </c>
      <c r="C130" s="135">
        <v>26</v>
      </c>
      <c r="D130" s="136" t="s">
        <v>137</v>
      </c>
      <c r="E130" s="249">
        <v>45</v>
      </c>
      <c r="F130" s="192">
        <f t="shared" si="3"/>
        <v>1170</v>
      </c>
    </row>
    <row r="131" spans="1:6" x14ac:dyDescent="0.45">
      <c r="A131" s="65"/>
      <c r="B131" s="68"/>
      <c r="C131" s="135"/>
      <c r="D131" s="136"/>
      <c r="E131" s="249"/>
      <c r="F131" s="192" t="str">
        <f t="shared" si="3"/>
        <v/>
      </c>
    </row>
    <row r="132" spans="1:6" ht="27.75" x14ac:dyDescent="0.45">
      <c r="A132" s="65" t="s">
        <v>263</v>
      </c>
      <c r="B132" s="68" t="s">
        <v>208</v>
      </c>
      <c r="C132" s="135">
        <v>2</v>
      </c>
      <c r="D132" s="136" t="s">
        <v>209</v>
      </c>
      <c r="E132" s="249">
        <v>75</v>
      </c>
      <c r="F132" s="192">
        <f t="shared" si="3"/>
        <v>150</v>
      </c>
    </row>
    <row r="133" spans="1:6" x14ac:dyDescent="0.45">
      <c r="A133" s="65"/>
      <c r="B133" s="68"/>
      <c r="C133" s="135"/>
      <c r="D133" s="136"/>
      <c r="E133" s="249"/>
      <c r="F133" s="192" t="str">
        <f t="shared" si="3"/>
        <v/>
      </c>
    </row>
    <row r="134" spans="1:6" x14ac:dyDescent="0.45">
      <c r="A134" s="65" t="s">
        <v>264</v>
      </c>
      <c r="B134" s="68" t="s">
        <v>210</v>
      </c>
      <c r="C134" s="135">
        <f>C128/2+1</f>
        <v>28</v>
      </c>
      <c r="D134" s="136" t="s">
        <v>215</v>
      </c>
      <c r="E134" s="249">
        <v>2.5</v>
      </c>
      <c r="F134" s="192">
        <f t="shared" si="3"/>
        <v>70</v>
      </c>
    </row>
    <row r="135" spans="1:6" x14ac:dyDescent="0.45">
      <c r="A135" s="65"/>
      <c r="B135" s="68"/>
      <c r="C135" s="151"/>
      <c r="D135" s="152"/>
      <c r="E135" s="294"/>
      <c r="F135" s="192" t="str">
        <f t="shared" si="3"/>
        <v/>
      </c>
    </row>
    <row r="136" spans="1:6" x14ac:dyDescent="0.45">
      <c r="A136" s="65" t="s">
        <v>265</v>
      </c>
      <c r="B136" s="68" t="s">
        <v>211</v>
      </c>
      <c r="C136" s="135">
        <f>11*2</f>
        <v>22</v>
      </c>
      <c r="D136" s="136" t="s">
        <v>30</v>
      </c>
      <c r="E136" s="249">
        <v>4</v>
      </c>
      <c r="F136" s="192">
        <f t="shared" si="3"/>
        <v>88</v>
      </c>
    </row>
    <row r="137" spans="1:6" x14ac:dyDescent="0.45">
      <c r="A137" s="65"/>
      <c r="B137" s="64"/>
      <c r="C137" s="135"/>
      <c r="D137" s="136"/>
      <c r="E137" s="249"/>
      <c r="F137" s="192" t="str">
        <f t="shared" si="3"/>
        <v/>
      </c>
    </row>
    <row r="138" spans="1:6" x14ac:dyDescent="0.45">
      <c r="A138" s="65" t="s">
        <v>266</v>
      </c>
      <c r="B138" s="68" t="s">
        <v>212</v>
      </c>
      <c r="C138" s="135">
        <f>11*2</f>
        <v>22</v>
      </c>
      <c r="D138" s="136" t="s">
        <v>30</v>
      </c>
      <c r="E138" s="249">
        <v>4</v>
      </c>
      <c r="F138" s="192">
        <f t="shared" si="3"/>
        <v>88</v>
      </c>
    </row>
    <row r="139" spans="1:6" x14ac:dyDescent="0.45">
      <c r="A139" s="65"/>
      <c r="B139" s="68"/>
      <c r="C139" s="135"/>
      <c r="D139" s="136"/>
      <c r="E139" s="249"/>
      <c r="F139" s="192" t="str">
        <f t="shared" si="3"/>
        <v/>
      </c>
    </row>
    <row r="140" spans="1:6" x14ac:dyDescent="0.45">
      <c r="A140" s="65" t="s">
        <v>267</v>
      </c>
      <c r="B140" s="68" t="s">
        <v>213</v>
      </c>
      <c r="C140" s="135">
        <f>C138+C136</f>
        <v>44</v>
      </c>
      <c r="D140" s="136" t="s">
        <v>30</v>
      </c>
      <c r="E140" s="247">
        <v>4</v>
      </c>
      <c r="F140" s="192">
        <f t="shared" si="3"/>
        <v>176</v>
      </c>
    </row>
    <row r="141" spans="1:6" x14ac:dyDescent="0.45">
      <c r="A141" s="65"/>
      <c r="B141" s="68"/>
      <c r="C141" s="135"/>
      <c r="D141" s="136"/>
      <c r="E141" s="249"/>
      <c r="F141" s="192" t="str">
        <f t="shared" si="3"/>
        <v/>
      </c>
    </row>
    <row r="142" spans="1:6" x14ac:dyDescent="0.45">
      <c r="A142" s="65" t="s">
        <v>268</v>
      </c>
      <c r="B142" s="68" t="s">
        <v>214</v>
      </c>
      <c r="C142" s="135">
        <v>6</v>
      </c>
      <c r="D142" s="136" t="s">
        <v>137</v>
      </c>
      <c r="E142" s="247">
        <v>50</v>
      </c>
      <c r="F142" s="192">
        <f t="shared" si="3"/>
        <v>300</v>
      </c>
    </row>
    <row r="143" spans="1:6" x14ac:dyDescent="0.45">
      <c r="A143" s="65"/>
      <c r="B143" s="68"/>
      <c r="C143" s="135"/>
      <c r="D143" s="136"/>
      <c r="E143" s="247"/>
      <c r="F143" s="192" t="str">
        <f t="shared" si="3"/>
        <v/>
      </c>
    </row>
    <row r="144" spans="1:6" x14ac:dyDescent="0.45">
      <c r="A144" s="65"/>
      <c r="B144" s="64" t="s">
        <v>216</v>
      </c>
      <c r="C144" s="135"/>
      <c r="D144" s="136"/>
      <c r="E144" s="247"/>
      <c r="F144" s="192" t="str">
        <f t="shared" si="3"/>
        <v/>
      </c>
    </row>
    <row r="145" spans="1:6" x14ac:dyDescent="0.45">
      <c r="A145" s="65"/>
      <c r="B145" s="68"/>
      <c r="C145" s="135"/>
      <c r="D145" s="136"/>
      <c r="E145" s="247"/>
      <c r="F145" s="192" t="str">
        <f t="shared" si="3"/>
        <v/>
      </c>
    </row>
    <row r="146" spans="1:6" ht="27.75" x14ac:dyDescent="0.45">
      <c r="A146" s="65" t="s">
        <v>269</v>
      </c>
      <c r="B146" s="68" t="s">
        <v>461</v>
      </c>
      <c r="C146" s="135">
        <v>2</v>
      </c>
      <c r="D146" s="136" t="s">
        <v>215</v>
      </c>
      <c r="E146" s="247">
        <v>100</v>
      </c>
      <c r="F146" s="192">
        <f t="shared" si="3"/>
        <v>200</v>
      </c>
    </row>
    <row r="147" spans="1:6" x14ac:dyDescent="0.45">
      <c r="A147" s="65"/>
      <c r="B147" s="68"/>
      <c r="C147" s="135"/>
      <c r="D147" s="136"/>
      <c r="E147" s="247"/>
      <c r="F147" s="192" t="str">
        <f t="shared" si="3"/>
        <v/>
      </c>
    </row>
    <row r="148" spans="1:6" ht="27.75" x14ac:dyDescent="0.45">
      <c r="A148" s="65" t="s">
        <v>270</v>
      </c>
      <c r="B148" s="68" t="s">
        <v>217</v>
      </c>
      <c r="C148" s="135">
        <v>2</v>
      </c>
      <c r="D148" s="136" t="s">
        <v>218</v>
      </c>
      <c r="E148" s="247">
        <v>50</v>
      </c>
      <c r="F148" s="192">
        <f t="shared" si="3"/>
        <v>100</v>
      </c>
    </row>
    <row r="149" spans="1:6" x14ac:dyDescent="0.45">
      <c r="A149" s="65"/>
      <c r="B149" s="68"/>
      <c r="C149" s="135"/>
      <c r="D149" s="136"/>
      <c r="E149" s="247"/>
      <c r="F149" s="192" t="str">
        <f t="shared" si="3"/>
        <v/>
      </c>
    </row>
    <row r="150" spans="1:6" ht="27.75" x14ac:dyDescent="0.45">
      <c r="A150" s="65" t="s">
        <v>271</v>
      </c>
      <c r="B150" s="68" t="s">
        <v>219</v>
      </c>
      <c r="C150" s="135">
        <v>18</v>
      </c>
      <c r="D150" s="136" t="s">
        <v>30</v>
      </c>
      <c r="E150" s="247">
        <v>5</v>
      </c>
      <c r="F150" s="192">
        <f t="shared" si="3"/>
        <v>90</v>
      </c>
    </row>
    <row r="151" spans="1:6" x14ac:dyDescent="0.45">
      <c r="A151" s="65"/>
      <c r="B151" s="68"/>
      <c r="C151" s="135"/>
      <c r="D151" s="136"/>
      <c r="E151" s="247"/>
      <c r="F151" s="192" t="str">
        <f t="shared" si="3"/>
        <v/>
      </c>
    </row>
    <row r="152" spans="1:6" ht="27.75" x14ac:dyDescent="0.45">
      <c r="A152" s="65" t="s">
        <v>272</v>
      </c>
      <c r="B152" s="68" t="s">
        <v>220</v>
      </c>
      <c r="C152" s="135">
        <v>18</v>
      </c>
      <c r="D152" s="136" t="s">
        <v>30</v>
      </c>
      <c r="E152" s="247">
        <v>1</v>
      </c>
      <c r="F152" s="192">
        <f t="shared" si="3"/>
        <v>18</v>
      </c>
    </row>
    <row r="153" spans="1:6" x14ac:dyDescent="0.45">
      <c r="A153" s="65"/>
      <c r="B153" s="68"/>
      <c r="C153" s="135"/>
      <c r="D153" s="136"/>
      <c r="E153" s="247"/>
      <c r="F153" s="192" t="str">
        <f t="shared" si="3"/>
        <v/>
      </c>
    </row>
    <row r="154" spans="1:6" ht="27.75" x14ac:dyDescent="0.45">
      <c r="A154" s="65" t="s">
        <v>273</v>
      </c>
      <c r="B154" s="68" t="s">
        <v>221</v>
      </c>
      <c r="C154" s="135">
        <v>4</v>
      </c>
      <c r="D154" s="136" t="s">
        <v>222</v>
      </c>
      <c r="E154" s="247">
        <v>50</v>
      </c>
      <c r="F154" s="192">
        <f t="shared" si="3"/>
        <v>200</v>
      </c>
    </row>
    <row r="155" spans="1:6" x14ac:dyDescent="0.45">
      <c r="A155" s="65"/>
      <c r="B155" s="68"/>
      <c r="C155" s="135"/>
      <c r="D155" s="136"/>
      <c r="E155" s="247"/>
      <c r="F155" s="192" t="str">
        <f t="shared" si="3"/>
        <v/>
      </c>
    </row>
    <row r="156" spans="1:6" ht="55.5" x14ac:dyDescent="0.45">
      <c r="A156" s="65" t="s">
        <v>274</v>
      </c>
      <c r="B156" s="68" t="s">
        <v>223</v>
      </c>
      <c r="C156" s="135">
        <v>4</v>
      </c>
      <c r="D156" s="136" t="s">
        <v>215</v>
      </c>
      <c r="E156" s="247">
        <v>450</v>
      </c>
      <c r="F156" s="192">
        <f t="shared" si="3"/>
        <v>1800</v>
      </c>
    </row>
    <row r="157" spans="1:6" x14ac:dyDescent="0.45">
      <c r="A157" s="65"/>
      <c r="B157" s="68"/>
      <c r="C157" s="135"/>
      <c r="D157" s="136"/>
      <c r="E157" s="247"/>
      <c r="F157" s="192" t="str">
        <f t="shared" si="3"/>
        <v/>
      </c>
    </row>
    <row r="158" spans="1:6" x14ac:dyDescent="0.45">
      <c r="A158" s="65" t="s">
        <v>275</v>
      </c>
      <c r="B158" s="68" t="s">
        <v>224</v>
      </c>
      <c r="C158" s="135">
        <v>4</v>
      </c>
      <c r="D158" s="136" t="s">
        <v>222</v>
      </c>
      <c r="E158" s="247">
        <v>75</v>
      </c>
      <c r="F158" s="192">
        <f t="shared" si="3"/>
        <v>300</v>
      </c>
    </row>
    <row r="159" spans="1:6" x14ac:dyDescent="0.35">
      <c r="A159" s="25"/>
      <c r="B159" s="27"/>
      <c r="C159" s="18"/>
      <c r="D159" s="25"/>
      <c r="E159" s="256"/>
      <c r="F159" s="30"/>
    </row>
    <row r="160" spans="1:6" x14ac:dyDescent="0.35">
      <c r="A160" s="4"/>
      <c r="B160" s="6"/>
      <c r="C160" s="6"/>
      <c r="D160" s="23"/>
      <c r="E160" s="282"/>
      <c r="F160" s="31"/>
    </row>
    <row r="161" spans="1:6" x14ac:dyDescent="0.35">
      <c r="A161" s="7"/>
      <c r="B161" s="9"/>
      <c r="C161" s="9" t="s">
        <v>21</v>
      </c>
      <c r="D161" s="21"/>
      <c r="E161" s="286"/>
      <c r="F161" s="33">
        <f>SUM(F122:F160)</f>
        <v>6603</v>
      </c>
    </row>
    <row r="162" spans="1:6" x14ac:dyDescent="0.35">
      <c r="A162" s="10"/>
      <c r="B162" s="12"/>
      <c r="C162" s="12"/>
      <c r="D162" s="24"/>
      <c r="E162" s="284"/>
      <c r="F162" s="34"/>
    </row>
    <row r="163" spans="1:6" x14ac:dyDescent="0.35">
      <c r="A163" s="25"/>
      <c r="B163" s="27"/>
      <c r="C163" s="18"/>
      <c r="D163" s="25"/>
      <c r="E163" s="285"/>
      <c r="F163" s="30"/>
    </row>
    <row r="164" spans="1:6" ht="30.75" x14ac:dyDescent="0.45">
      <c r="A164" s="25" t="s">
        <v>276</v>
      </c>
      <c r="B164" s="2" t="s">
        <v>225</v>
      </c>
      <c r="C164" s="135">
        <v>4</v>
      </c>
      <c r="D164" s="136" t="s">
        <v>215</v>
      </c>
      <c r="E164" s="305">
        <v>20</v>
      </c>
      <c r="F164" s="192">
        <f t="shared" ref="F164:F194" si="4">IF(C164="","",(C164*E164))</f>
        <v>80</v>
      </c>
    </row>
    <row r="165" spans="1:6" x14ac:dyDescent="0.45">
      <c r="A165" s="25"/>
      <c r="B165" s="20"/>
      <c r="C165" s="135"/>
      <c r="D165" s="136"/>
      <c r="E165" s="305"/>
      <c r="F165" s="192" t="str">
        <f t="shared" si="4"/>
        <v/>
      </c>
    </row>
    <row r="166" spans="1:6" ht="30.75" x14ac:dyDescent="0.45">
      <c r="A166" s="25" t="s">
        <v>277</v>
      </c>
      <c r="B166" s="2" t="s">
        <v>226</v>
      </c>
      <c r="C166" s="135">
        <f>42*2</f>
        <v>84</v>
      </c>
      <c r="D166" s="136" t="s">
        <v>30</v>
      </c>
      <c r="E166" s="305">
        <v>12</v>
      </c>
      <c r="F166" s="192">
        <f t="shared" si="4"/>
        <v>1008</v>
      </c>
    </row>
    <row r="167" spans="1:6" x14ac:dyDescent="0.45">
      <c r="A167" s="25"/>
      <c r="B167" s="20"/>
      <c r="C167" s="135"/>
      <c r="D167" s="136"/>
      <c r="E167" s="305"/>
      <c r="F167" s="192" t="str">
        <f t="shared" si="4"/>
        <v/>
      </c>
    </row>
    <row r="168" spans="1:6" x14ac:dyDescent="0.45">
      <c r="A168" s="25" t="s">
        <v>278</v>
      </c>
      <c r="B168" s="2" t="s">
        <v>227</v>
      </c>
      <c r="C168" s="135">
        <f>C166</f>
        <v>84</v>
      </c>
      <c r="D168" s="136" t="s">
        <v>30</v>
      </c>
      <c r="E168" s="305">
        <v>6</v>
      </c>
      <c r="F168" s="192">
        <f t="shared" si="4"/>
        <v>504</v>
      </c>
    </row>
    <row r="169" spans="1:6" x14ac:dyDescent="0.45">
      <c r="A169" s="25"/>
      <c r="B169" s="20"/>
      <c r="C169" s="135"/>
      <c r="D169" s="136"/>
      <c r="E169" s="305"/>
      <c r="F169" s="192" t="str">
        <f t="shared" si="4"/>
        <v/>
      </c>
    </row>
    <row r="170" spans="1:6" ht="30.75" x14ac:dyDescent="0.45">
      <c r="A170" s="25" t="s">
        <v>279</v>
      </c>
      <c r="B170" s="2" t="s">
        <v>228</v>
      </c>
      <c r="C170" s="135">
        <v>2</v>
      </c>
      <c r="D170" s="136" t="s">
        <v>209</v>
      </c>
      <c r="E170" s="305">
        <v>50</v>
      </c>
      <c r="F170" s="192">
        <f t="shared" si="4"/>
        <v>100</v>
      </c>
    </row>
    <row r="171" spans="1:6" x14ac:dyDescent="0.45">
      <c r="A171" s="25"/>
      <c r="B171" s="20"/>
      <c r="C171" s="135"/>
      <c r="D171" s="136"/>
      <c r="E171" s="305"/>
      <c r="F171" s="192" t="str">
        <f t="shared" si="4"/>
        <v/>
      </c>
    </row>
    <row r="172" spans="1:6" ht="46.15" x14ac:dyDescent="0.45">
      <c r="A172" s="25" t="s">
        <v>280</v>
      </c>
      <c r="B172" s="2" t="s">
        <v>229</v>
      </c>
      <c r="C172" s="135">
        <v>2</v>
      </c>
      <c r="D172" s="136" t="s">
        <v>215</v>
      </c>
      <c r="E172" s="305">
        <v>25</v>
      </c>
      <c r="F172" s="192">
        <f t="shared" si="4"/>
        <v>50</v>
      </c>
    </row>
    <row r="173" spans="1:6" x14ac:dyDescent="0.45">
      <c r="A173" s="25"/>
      <c r="B173" s="20"/>
      <c r="C173" s="135"/>
      <c r="D173" s="136"/>
      <c r="E173" s="305"/>
      <c r="F173" s="192" t="str">
        <f t="shared" si="4"/>
        <v/>
      </c>
    </row>
    <row r="174" spans="1:6" ht="30.75" x14ac:dyDescent="0.45">
      <c r="A174" s="25" t="s">
        <v>281</v>
      </c>
      <c r="B174" s="2" t="s">
        <v>230</v>
      </c>
      <c r="C174" s="135">
        <v>2</v>
      </c>
      <c r="D174" s="136" t="s">
        <v>215</v>
      </c>
      <c r="E174" s="305">
        <v>50</v>
      </c>
      <c r="F174" s="192">
        <f t="shared" si="4"/>
        <v>100</v>
      </c>
    </row>
    <row r="175" spans="1:6" x14ac:dyDescent="0.45">
      <c r="A175" s="25"/>
      <c r="B175" s="20"/>
      <c r="C175" s="135"/>
      <c r="D175" s="136"/>
      <c r="E175" s="305"/>
      <c r="F175" s="192" t="str">
        <f t="shared" si="4"/>
        <v/>
      </c>
    </row>
    <row r="176" spans="1:6" x14ac:dyDescent="0.45">
      <c r="A176" s="25"/>
      <c r="B176" s="19" t="s">
        <v>231</v>
      </c>
      <c r="C176" s="135"/>
      <c r="D176" s="136"/>
      <c r="E176" s="305"/>
      <c r="F176" s="192" t="str">
        <f t="shared" si="4"/>
        <v/>
      </c>
    </row>
    <row r="177" spans="1:6" x14ac:dyDescent="0.45">
      <c r="A177" s="25"/>
      <c r="B177" s="20"/>
      <c r="C177" s="135"/>
      <c r="D177" s="136"/>
      <c r="E177" s="305"/>
      <c r="F177" s="192" t="str">
        <f t="shared" si="4"/>
        <v/>
      </c>
    </row>
    <row r="178" spans="1:6" ht="30.75" x14ac:dyDescent="0.45">
      <c r="A178" s="25" t="s">
        <v>282</v>
      </c>
      <c r="B178" s="2" t="s">
        <v>232</v>
      </c>
      <c r="C178" s="135">
        <f>93*2</f>
        <v>186</v>
      </c>
      <c r="D178" s="136" t="s">
        <v>30</v>
      </c>
      <c r="E178" s="305">
        <v>5.5</v>
      </c>
      <c r="F178" s="192">
        <f t="shared" si="4"/>
        <v>1023</v>
      </c>
    </row>
    <row r="179" spans="1:6" x14ac:dyDescent="0.45">
      <c r="A179" s="25"/>
      <c r="B179" s="20"/>
      <c r="C179" s="135"/>
      <c r="D179" s="136"/>
      <c r="E179" s="305"/>
      <c r="F179" s="192" t="str">
        <f t="shared" si="4"/>
        <v/>
      </c>
    </row>
    <row r="180" spans="1:6" x14ac:dyDescent="0.45">
      <c r="A180" s="25" t="s">
        <v>283</v>
      </c>
      <c r="B180" s="2" t="s">
        <v>233</v>
      </c>
      <c r="C180" s="135">
        <v>22</v>
      </c>
      <c r="D180" s="136" t="s">
        <v>215</v>
      </c>
      <c r="E180" s="305">
        <v>15</v>
      </c>
      <c r="F180" s="192">
        <f t="shared" si="4"/>
        <v>330</v>
      </c>
    </row>
    <row r="181" spans="1:6" x14ac:dyDescent="0.45">
      <c r="A181" s="25"/>
      <c r="B181" s="20"/>
      <c r="C181" s="135"/>
      <c r="D181" s="136"/>
      <c r="E181" s="305"/>
      <c r="F181" s="192" t="str">
        <f t="shared" si="4"/>
        <v/>
      </c>
    </row>
    <row r="182" spans="1:6" x14ac:dyDescent="0.45">
      <c r="A182" s="25" t="s">
        <v>284</v>
      </c>
      <c r="B182" s="2" t="s">
        <v>234</v>
      </c>
      <c r="C182" s="135">
        <v>22</v>
      </c>
      <c r="D182" s="136" t="s">
        <v>218</v>
      </c>
      <c r="E182" s="305">
        <v>1</v>
      </c>
      <c r="F182" s="192">
        <f t="shared" si="4"/>
        <v>22</v>
      </c>
    </row>
    <row r="183" spans="1:6" x14ac:dyDescent="0.45">
      <c r="A183" s="25"/>
      <c r="B183" s="20"/>
      <c r="C183" s="135"/>
      <c r="D183" s="136"/>
      <c r="E183" s="305"/>
      <c r="F183" s="192" t="str">
        <f t="shared" si="4"/>
        <v/>
      </c>
    </row>
    <row r="184" spans="1:6" x14ac:dyDescent="0.45">
      <c r="A184" s="25" t="s">
        <v>285</v>
      </c>
      <c r="B184" s="2" t="s">
        <v>235</v>
      </c>
      <c r="C184" s="135">
        <v>22</v>
      </c>
      <c r="D184" s="136" t="s">
        <v>218</v>
      </c>
      <c r="E184" s="305">
        <v>5</v>
      </c>
      <c r="F184" s="192">
        <f t="shared" si="4"/>
        <v>110</v>
      </c>
    </row>
    <row r="185" spans="1:6" x14ac:dyDescent="0.45">
      <c r="A185" s="25"/>
      <c r="B185" s="20"/>
      <c r="C185" s="135"/>
      <c r="D185" s="136"/>
      <c r="E185" s="305"/>
      <c r="F185" s="192" t="str">
        <f t="shared" si="4"/>
        <v/>
      </c>
    </row>
    <row r="186" spans="1:6" x14ac:dyDescent="0.45">
      <c r="A186" s="25" t="s">
        <v>286</v>
      </c>
      <c r="B186" s="2" t="s">
        <v>236</v>
      </c>
      <c r="C186" s="135">
        <v>22</v>
      </c>
      <c r="D186" s="136" t="s">
        <v>215</v>
      </c>
      <c r="E186" s="305">
        <v>35</v>
      </c>
      <c r="F186" s="192">
        <f t="shared" si="4"/>
        <v>770</v>
      </c>
    </row>
    <row r="187" spans="1:6" x14ac:dyDescent="0.45">
      <c r="A187" s="25"/>
      <c r="B187" s="20"/>
      <c r="C187" s="135"/>
      <c r="D187" s="136"/>
      <c r="E187" s="305"/>
      <c r="F187" s="192" t="str">
        <f t="shared" si="4"/>
        <v/>
      </c>
    </row>
    <row r="188" spans="1:6" ht="30.75" x14ac:dyDescent="0.45">
      <c r="A188" s="25" t="s">
        <v>287</v>
      </c>
      <c r="B188" s="2" t="s">
        <v>237</v>
      </c>
      <c r="C188" s="135">
        <f>7*2</f>
        <v>14</v>
      </c>
      <c r="D188" s="136" t="s">
        <v>215</v>
      </c>
      <c r="E188" s="305">
        <v>8</v>
      </c>
      <c r="F188" s="192">
        <f t="shared" si="4"/>
        <v>112</v>
      </c>
    </row>
    <row r="189" spans="1:6" x14ac:dyDescent="0.45">
      <c r="A189" s="25"/>
      <c r="B189" s="27"/>
      <c r="C189" s="135"/>
      <c r="D189" s="136"/>
      <c r="E189" s="305"/>
      <c r="F189" s="192" t="str">
        <f t="shared" si="4"/>
        <v/>
      </c>
    </row>
    <row r="190" spans="1:6" x14ac:dyDescent="0.45">
      <c r="A190" s="25" t="s">
        <v>288</v>
      </c>
      <c r="B190" s="2" t="s">
        <v>238</v>
      </c>
      <c r="C190" s="135">
        <v>22</v>
      </c>
      <c r="D190" s="136" t="s">
        <v>215</v>
      </c>
      <c r="E190" s="305">
        <v>5</v>
      </c>
      <c r="F190" s="192">
        <f t="shared" si="4"/>
        <v>110</v>
      </c>
    </row>
    <row r="191" spans="1:6" x14ac:dyDescent="0.45">
      <c r="A191" s="25"/>
      <c r="B191" s="27"/>
      <c r="C191" s="135"/>
      <c r="D191" s="136"/>
      <c r="E191" s="305"/>
      <c r="F191" s="192" t="str">
        <f t="shared" si="4"/>
        <v/>
      </c>
    </row>
    <row r="192" spans="1:6" x14ac:dyDescent="0.45">
      <c r="A192" s="25" t="s">
        <v>289</v>
      </c>
      <c r="B192" s="27" t="s">
        <v>239</v>
      </c>
      <c r="C192" s="135">
        <v>6</v>
      </c>
      <c r="D192" s="136" t="s">
        <v>215</v>
      </c>
      <c r="E192" s="305">
        <v>2</v>
      </c>
      <c r="F192" s="192">
        <f t="shared" si="4"/>
        <v>12</v>
      </c>
    </row>
    <row r="193" spans="1:6" x14ac:dyDescent="0.45">
      <c r="A193" s="25"/>
      <c r="B193" s="27"/>
      <c r="C193" s="135"/>
      <c r="D193" s="136"/>
      <c r="E193" s="305"/>
      <c r="F193" s="192" t="str">
        <f t="shared" si="4"/>
        <v/>
      </c>
    </row>
    <row r="194" spans="1:6" ht="30.75" x14ac:dyDescent="0.45">
      <c r="A194" s="25" t="s">
        <v>290</v>
      </c>
      <c r="B194" s="27" t="s">
        <v>240</v>
      </c>
      <c r="C194" s="135">
        <v>4</v>
      </c>
      <c r="D194" s="136" t="s">
        <v>215</v>
      </c>
      <c r="E194" s="305">
        <v>25</v>
      </c>
      <c r="F194" s="192">
        <f t="shared" si="4"/>
        <v>100</v>
      </c>
    </row>
    <row r="195" spans="1:6" x14ac:dyDescent="0.35">
      <c r="A195" s="25"/>
      <c r="B195" s="27"/>
      <c r="C195" s="18"/>
      <c r="D195" s="25"/>
      <c r="E195" s="285"/>
      <c r="F195" s="30"/>
    </row>
    <row r="196" spans="1:6" x14ac:dyDescent="0.35">
      <c r="A196" s="4"/>
      <c r="B196" s="6"/>
      <c r="C196" s="6"/>
      <c r="D196" s="23"/>
      <c r="E196" s="282"/>
      <c r="F196" s="31"/>
    </row>
    <row r="197" spans="1:6" x14ac:dyDescent="0.35">
      <c r="A197" s="7"/>
      <c r="B197" s="9"/>
      <c r="C197" s="9" t="s">
        <v>21</v>
      </c>
      <c r="D197" s="21"/>
      <c r="E197" s="286"/>
      <c r="F197" s="33">
        <f>SUM(F163:F195)</f>
        <v>4431</v>
      </c>
    </row>
    <row r="198" spans="1:6" x14ac:dyDescent="0.35">
      <c r="A198" s="10"/>
      <c r="B198" s="12"/>
      <c r="C198" s="12"/>
      <c r="D198" s="24"/>
      <c r="E198" s="284"/>
      <c r="F198" s="34"/>
    </row>
    <row r="199" spans="1:6" x14ac:dyDescent="0.35">
      <c r="A199" s="49"/>
      <c r="B199" s="49"/>
      <c r="C199" s="49"/>
      <c r="D199" s="323"/>
      <c r="E199" s="324"/>
      <c r="F199" s="325"/>
    </row>
    <row r="200" spans="1:6" x14ac:dyDescent="0.35">
      <c r="A200" s="25"/>
      <c r="B200" s="27"/>
      <c r="C200" s="18"/>
      <c r="D200" s="25"/>
      <c r="E200" s="285"/>
      <c r="F200" s="30"/>
    </row>
    <row r="201" spans="1:6" ht="30.75" x14ac:dyDescent="0.45">
      <c r="A201" s="25" t="s">
        <v>291</v>
      </c>
      <c r="B201" s="2" t="s">
        <v>241</v>
      </c>
      <c r="C201" s="135">
        <v>24</v>
      </c>
      <c r="D201" s="136" t="s">
        <v>30</v>
      </c>
      <c r="E201" s="305">
        <v>15</v>
      </c>
      <c r="F201" s="192">
        <f t="shared" ref="F201" si="5">IF(C201="","",(C201*E201))</f>
        <v>360</v>
      </c>
    </row>
    <row r="202" spans="1:6" x14ac:dyDescent="0.45">
      <c r="A202" s="25"/>
      <c r="B202" s="20"/>
      <c r="C202" s="135"/>
      <c r="D202" s="136"/>
      <c r="E202" s="305"/>
      <c r="F202" s="192"/>
    </row>
    <row r="203" spans="1:6" ht="30.75" x14ac:dyDescent="0.45">
      <c r="A203" s="25" t="s">
        <v>292</v>
      </c>
      <c r="B203" s="2" t="s">
        <v>242</v>
      </c>
      <c r="C203" s="135"/>
      <c r="D203" s="136" t="s">
        <v>30</v>
      </c>
      <c r="E203" s="305"/>
      <c r="F203" s="192" t="s">
        <v>460</v>
      </c>
    </row>
    <row r="204" spans="1:6" x14ac:dyDescent="0.45">
      <c r="A204" s="25"/>
      <c r="B204" s="20"/>
      <c r="C204" s="135"/>
      <c r="D204" s="136"/>
      <c r="E204" s="305"/>
      <c r="F204" s="192"/>
    </row>
    <row r="205" spans="1:6" x14ac:dyDescent="0.45">
      <c r="A205" s="25"/>
      <c r="B205" s="19" t="s">
        <v>243</v>
      </c>
      <c r="C205" s="135"/>
      <c r="D205" s="136"/>
      <c r="E205" s="305"/>
      <c r="F205" s="192"/>
    </row>
    <row r="206" spans="1:6" x14ac:dyDescent="0.45">
      <c r="A206" s="25"/>
      <c r="B206" s="20"/>
      <c r="C206" s="135"/>
      <c r="D206" s="136"/>
      <c r="E206" s="305"/>
      <c r="F206" s="192"/>
    </row>
    <row r="207" spans="1:6" ht="30.75" x14ac:dyDescent="0.45">
      <c r="A207" s="25" t="s">
        <v>293</v>
      </c>
      <c r="B207" s="2" t="s">
        <v>244</v>
      </c>
      <c r="C207" s="135">
        <v>2</v>
      </c>
      <c r="D207" s="136" t="s">
        <v>215</v>
      </c>
      <c r="E207" s="305">
        <v>10</v>
      </c>
      <c r="F207" s="192">
        <f t="shared" ref="F207:F231" si="6">IF(C207="","",(C207*E207))</f>
        <v>20</v>
      </c>
    </row>
    <row r="208" spans="1:6" x14ac:dyDescent="0.45">
      <c r="A208" s="25"/>
      <c r="B208" s="20"/>
      <c r="C208" s="135"/>
      <c r="D208" s="136"/>
      <c r="E208" s="305"/>
      <c r="F208" s="192" t="str">
        <f t="shared" si="6"/>
        <v/>
      </c>
    </row>
    <row r="209" spans="1:6" x14ac:dyDescent="0.45">
      <c r="A209" s="25" t="s">
        <v>294</v>
      </c>
      <c r="B209" s="2" t="s">
        <v>245</v>
      </c>
      <c r="C209" s="135">
        <v>2</v>
      </c>
      <c r="D209" s="136" t="s">
        <v>215</v>
      </c>
      <c r="E209" s="305">
        <v>10</v>
      </c>
      <c r="F209" s="192">
        <f t="shared" si="6"/>
        <v>20</v>
      </c>
    </row>
    <row r="210" spans="1:6" x14ac:dyDescent="0.45">
      <c r="A210" s="25"/>
      <c r="B210" s="20"/>
      <c r="C210" s="135"/>
      <c r="D210" s="136"/>
      <c r="E210" s="305"/>
      <c r="F210" s="192" t="str">
        <f t="shared" si="6"/>
        <v/>
      </c>
    </row>
    <row r="211" spans="1:6" x14ac:dyDescent="0.45">
      <c r="A211" s="25" t="s">
        <v>295</v>
      </c>
      <c r="B211" s="2" t="s">
        <v>246</v>
      </c>
      <c r="C211" s="135">
        <v>2</v>
      </c>
      <c r="D211" s="136" t="s">
        <v>215</v>
      </c>
      <c r="E211" s="305">
        <v>10</v>
      </c>
      <c r="F211" s="192">
        <f t="shared" si="6"/>
        <v>20</v>
      </c>
    </row>
    <row r="212" spans="1:6" x14ac:dyDescent="0.45">
      <c r="A212" s="25"/>
      <c r="B212" s="20"/>
      <c r="C212" s="135"/>
      <c r="D212" s="136"/>
      <c r="E212" s="305"/>
      <c r="F212" s="192" t="str">
        <f t="shared" si="6"/>
        <v/>
      </c>
    </row>
    <row r="213" spans="1:6" ht="30.75" x14ac:dyDescent="0.45">
      <c r="A213" s="25" t="s">
        <v>296</v>
      </c>
      <c r="B213" s="2" t="s">
        <v>247</v>
      </c>
      <c r="C213" s="135">
        <v>22</v>
      </c>
      <c r="D213" s="136" t="s">
        <v>215</v>
      </c>
      <c r="E213" s="305">
        <v>10</v>
      </c>
      <c r="F213" s="192">
        <f t="shared" si="6"/>
        <v>220</v>
      </c>
    </row>
    <row r="214" spans="1:6" x14ac:dyDescent="0.45">
      <c r="A214" s="25"/>
      <c r="B214" s="20"/>
      <c r="C214" s="135"/>
      <c r="D214" s="136"/>
      <c r="E214" s="305"/>
      <c r="F214" s="192" t="str">
        <f t="shared" si="6"/>
        <v/>
      </c>
    </row>
    <row r="215" spans="1:6" x14ac:dyDescent="0.45">
      <c r="A215" s="25" t="s">
        <v>297</v>
      </c>
      <c r="B215" s="2" t="s">
        <v>248</v>
      </c>
      <c r="C215" s="135">
        <v>6</v>
      </c>
      <c r="D215" s="136" t="s">
        <v>215</v>
      </c>
      <c r="E215" s="305">
        <v>10</v>
      </c>
      <c r="F215" s="192">
        <f t="shared" si="6"/>
        <v>60</v>
      </c>
    </row>
    <row r="216" spans="1:6" x14ac:dyDescent="0.45">
      <c r="A216" s="25"/>
      <c r="B216" s="20"/>
      <c r="C216" s="135"/>
      <c r="D216" s="136"/>
      <c r="E216" s="305"/>
      <c r="F216" s="192" t="str">
        <f t="shared" si="6"/>
        <v/>
      </c>
    </row>
    <row r="217" spans="1:6" x14ac:dyDescent="0.45">
      <c r="A217" s="25" t="s">
        <v>298</v>
      </c>
      <c r="B217" s="2" t="s">
        <v>249</v>
      </c>
      <c r="C217" s="135">
        <v>22</v>
      </c>
      <c r="D217" s="136" t="s">
        <v>215</v>
      </c>
      <c r="E217" s="305">
        <v>4.5</v>
      </c>
      <c r="F217" s="192">
        <f t="shared" si="6"/>
        <v>99</v>
      </c>
    </row>
    <row r="218" spans="1:6" x14ac:dyDescent="0.45">
      <c r="A218" s="25"/>
      <c r="B218" s="20"/>
      <c r="C218" s="135"/>
      <c r="D218" s="136"/>
      <c r="E218" s="305"/>
      <c r="F218" s="192" t="str">
        <f t="shared" si="6"/>
        <v/>
      </c>
    </row>
    <row r="219" spans="1:6" x14ac:dyDescent="0.45">
      <c r="A219" s="25" t="s">
        <v>299</v>
      </c>
      <c r="B219" s="2" t="s">
        <v>250</v>
      </c>
      <c r="C219" s="135">
        <v>2</v>
      </c>
      <c r="D219" s="136" t="s">
        <v>209</v>
      </c>
      <c r="E219" s="305">
        <v>140</v>
      </c>
      <c r="F219" s="192">
        <f t="shared" si="6"/>
        <v>280</v>
      </c>
    </row>
    <row r="220" spans="1:6" x14ac:dyDescent="0.45">
      <c r="A220" s="25"/>
      <c r="B220" s="20"/>
      <c r="C220" s="135"/>
      <c r="D220" s="136"/>
      <c r="E220" s="305"/>
      <c r="F220" s="192" t="str">
        <f t="shared" si="6"/>
        <v/>
      </c>
    </row>
    <row r="221" spans="1:6" x14ac:dyDescent="0.45">
      <c r="A221" s="25"/>
      <c r="B221" s="19" t="s">
        <v>251</v>
      </c>
      <c r="C221" s="135"/>
      <c r="D221" s="136"/>
      <c r="E221" s="305"/>
      <c r="F221" s="192" t="str">
        <f t="shared" si="6"/>
        <v/>
      </c>
    </row>
    <row r="222" spans="1:6" x14ac:dyDescent="0.45">
      <c r="A222" s="25"/>
      <c r="B222" s="20"/>
      <c r="C222" s="135"/>
      <c r="D222" s="136"/>
      <c r="E222" s="305"/>
      <c r="F222" s="192" t="str">
        <f t="shared" si="6"/>
        <v/>
      </c>
    </row>
    <row r="223" spans="1:6" ht="46.15" x14ac:dyDescent="0.45">
      <c r="A223" s="25" t="s">
        <v>300</v>
      </c>
      <c r="B223" s="2" t="s">
        <v>252</v>
      </c>
      <c r="C223" s="135">
        <v>1</v>
      </c>
      <c r="D223" s="136" t="s">
        <v>137</v>
      </c>
      <c r="E223" s="305">
        <v>300</v>
      </c>
      <c r="F223" s="192">
        <f t="shared" si="6"/>
        <v>300</v>
      </c>
    </row>
    <row r="224" spans="1:6" x14ac:dyDescent="0.45">
      <c r="A224" s="25"/>
      <c r="B224" s="20"/>
      <c r="C224" s="135"/>
      <c r="D224" s="136"/>
      <c r="E224" s="305"/>
      <c r="F224" s="192" t="str">
        <f t="shared" si="6"/>
        <v/>
      </c>
    </row>
    <row r="225" spans="1:6" x14ac:dyDescent="0.45">
      <c r="A225" s="25"/>
      <c r="B225" s="2"/>
      <c r="C225" s="135"/>
      <c r="D225" s="136"/>
      <c r="E225" s="305"/>
      <c r="F225" s="192" t="str">
        <f t="shared" si="6"/>
        <v/>
      </c>
    </row>
    <row r="226" spans="1:6" x14ac:dyDescent="0.45">
      <c r="A226" s="25"/>
      <c r="B226" s="27"/>
      <c r="C226" s="135"/>
      <c r="D226" s="136"/>
      <c r="E226" s="305"/>
      <c r="F226" s="192" t="str">
        <f t="shared" si="6"/>
        <v/>
      </c>
    </row>
    <row r="227" spans="1:6" x14ac:dyDescent="0.45">
      <c r="A227" s="25"/>
      <c r="B227" s="2"/>
      <c r="C227" s="135"/>
      <c r="D227" s="136"/>
      <c r="E227" s="305"/>
      <c r="F227" s="192" t="str">
        <f t="shared" si="6"/>
        <v/>
      </c>
    </row>
    <row r="228" spans="1:6" x14ac:dyDescent="0.45">
      <c r="A228" s="25"/>
      <c r="B228" s="27"/>
      <c r="C228" s="135"/>
      <c r="D228" s="136"/>
      <c r="E228" s="305"/>
      <c r="F228" s="192" t="str">
        <f t="shared" si="6"/>
        <v/>
      </c>
    </row>
    <row r="229" spans="1:6" x14ac:dyDescent="0.45">
      <c r="A229" s="25"/>
      <c r="B229" s="27"/>
      <c r="C229" s="135"/>
      <c r="D229" s="136"/>
      <c r="E229" s="305"/>
      <c r="F229" s="192" t="str">
        <f t="shared" si="6"/>
        <v/>
      </c>
    </row>
    <row r="230" spans="1:6" x14ac:dyDescent="0.45">
      <c r="A230" s="25"/>
      <c r="B230" s="27"/>
      <c r="C230" s="135"/>
      <c r="D230" s="136"/>
      <c r="E230" s="305"/>
      <c r="F230" s="192" t="str">
        <f t="shared" si="6"/>
        <v/>
      </c>
    </row>
    <row r="231" spans="1:6" x14ac:dyDescent="0.45">
      <c r="A231" s="25"/>
      <c r="B231" s="27"/>
      <c r="C231" s="135"/>
      <c r="D231" s="136"/>
      <c r="E231" s="305"/>
      <c r="F231" s="192" t="str">
        <f t="shared" si="6"/>
        <v/>
      </c>
    </row>
    <row r="232" spans="1:6" x14ac:dyDescent="0.35">
      <c r="A232" s="25"/>
      <c r="B232" s="27"/>
      <c r="C232" s="18"/>
      <c r="D232" s="25"/>
      <c r="E232" s="285"/>
      <c r="F232" s="30"/>
    </row>
    <row r="233" spans="1:6" x14ac:dyDescent="0.35">
      <c r="A233" s="4"/>
      <c r="B233" s="6"/>
      <c r="C233" s="6"/>
      <c r="D233" s="23"/>
      <c r="E233" s="282"/>
      <c r="F233" s="31"/>
    </row>
    <row r="234" spans="1:6" x14ac:dyDescent="0.35">
      <c r="A234" s="7"/>
      <c r="B234" s="9"/>
      <c r="C234" s="9" t="s">
        <v>21</v>
      </c>
      <c r="D234" s="21"/>
      <c r="E234" s="286"/>
      <c r="F234" s="33">
        <f>SUM(F200:F232)</f>
        <v>1379</v>
      </c>
    </row>
    <row r="235" spans="1:6" x14ac:dyDescent="0.35">
      <c r="A235" s="10"/>
      <c r="B235" s="12"/>
      <c r="C235" s="12"/>
      <c r="D235" s="24"/>
      <c r="E235" s="284"/>
      <c r="F235" s="34"/>
    </row>
  </sheetData>
  <phoneticPr fontId="6" type="noConversion"/>
  <pageMargins left="0.55118110236220474" right="0.19685039370078741" top="0.35433070866141736" bottom="0.55118110236220474" header="0.19685039370078741" footer="0.39370078740157483"/>
  <pageSetup paperSize="9" scale="85" orientation="portrait" r:id="rId1"/>
  <headerFooter alignWithMargins="0">
    <oddFooter>&amp;C&amp;"Times New Roman,Regular"Page 9/&amp;P</oddFooter>
  </headerFooter>
  <rowBreaks count="5" manualBreakCount="5">
    <brk id="46" max="6" man="1"/>
    <brk id="82" max="6" man="1"/>
    <brk id="120" max="6" man="1"/>
    <brk id="162" max="6" man="1"/>
    <brk id="198"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AB16-0A97-4DC9-A2BC-4257B3856131}">
  <dimension ref="A1:G100"/>
  <sheetViews>
    <sheetView view="pageBreakPreview" zoomScale="98" zoomScaleNormal="100" zoomScaleSheetLayoutView="98" workbookViewId="0">
      <selection activeCell="E13" sqref="E13"/>
    </sheetView>
  </sheetViews>
  <sheetFormatPr defaultColWidth="9.1328125" defaultRowHeight="15.4" x14ac:dyDescent="0.35"/>
  <cols>
    <col min="1" max="1" width="6.796875" style="1" bestFit="1" customWidth="1"/>
    <col min="2" max="2" width="53.1328125" style="1" customWidth="1"/>
    <col min="3" max="3" width="9.19921875" style="1" customWidth="1"/>
    <col min="4" max="4" width="5.46484375" style="26" customWidth="1"/>
    <col min="5" max="5" width="11.19921875" style="204" bestFit="1" customWidth="1"/>
    <col min="6" max="6" width="15.19921875" style="36" customWidth="1"/>
    <col min="7" max="7" width="17" style="1" customWidth="1"/>
    <col min="8" max="16384" width="9.1328125" style="1"/>
  </cols>
  <sheetData>
    <row r="1" spans="1:7" x14ac:dyDescent="0.35">
      <c r="A1" s="4"/>
      <c r="B1" s="5"/>
      <c r="C1" s="4"/>
      <c r="D1" s="37"/>
      <c r="E1" s="278"/>
      <c r="F1" s="31"/>
    </row>
    <row r="2" spans="1:7" x14ac:dyDescent="0.35">
      <c r="A2" s="13" t="str">
        <f>Summary!A2</f>
        <v>The Former Police Station, Haslingden</v>
      </c>
      <c r="B2" s="14"/>
      <c r="C2" s="13"/>
      <c r="D2" s="15" t="s">
        <v>440</v>
      </c>
      <c r="E2" s="279"/>
      <c r="F2" s="32" t="s">
        <v>519</v>
      </c>
    </row>
    <row r="3" spans="1:7" x14ac:dyDescent="0.35">
      <c r="A3" s="13" t="s">
        <v>32</v>
      </c>
      <c r="B3" s="8"/>
      <c r="C3" s="7"/>
      <c r="D3" s="15"/>
      <c r="E3" s="280"/>
      <c r="F3" s="33"/>
    </row>
    <row r="4" spans="1:7" x14ac:dyDescent="0.35">
      <c r="A4" s="29"/>
      <c r="B4" s="3" t="s">
        <v>22</v>
      </c>
      <c r="C4" s="3" t="s">
        <v>26</v>
      </c>
      <c r="D4" s="3" t="s">
        <v>23</v>
      </c>
      <c r="E4" s="281" t="s">
        <v>24</v>
      </c>
      <c r="F4" s="35" t="s">
        <v>25</v>
      </c>
      <c r="G4" s="178" t="s">
        <v>118</v>
      </c>
    </row>
    <row r="5" spans="1:7" x14ac:dyDescent="0.35">
      <c r="A5" s="25"/>
      <c r="B5" s="22"/>
      <c r="C5" s="18"/>
      <c r="D5" s="25"/>
      <c r="E5" s="256"/>
      <c r="F5" s="30"/>
    </row>
    <row r="6" spans="1:7" x14ac:dyDescent="0.35">
      <c r="A6" s="25"/>
      <c r="B6" s="22" t="s">
        <v>139</v>
      </c>
      <c r="C6" s="18"/>
      <c r="D6" s="25"/>
      <c r="E6" s="256"/>
      <c r="F6" s="30"/>
    </row>
    <row r="7" spans="1:7" x14ac:dyDescent="0.45">
      <c r="A7" s="25"/>
      <c r="B7" s="22"/>
      <c r="C7" s="135"/>
      <c r="D7" s="136"/>
      <c r="E7" s="247"/>
      <c r="F7" s="192"/>
    </row>
    <row r="8" spans="1:7" ht="76.900000000000006" x14ac:dyDescent="0.45">
      <c r="A8" s="25" t="s">
        <v>9</v>
      </c>
      <c r="B8" s="2" t="s">
        <v>441</v>
      </c>
      <c r="C8" s="135">
        <f>((6.334*2)*28.175)+16.52</f>
        <v>373.44089999999994</v>
      </c>
      <c r="D8" s="136" t="s">
        <v>42</v>
      </c>
      <c r="E8" s="247">
        <v>135</v>
      </c>
      <c r="F8" s="192">
        <f t="shared" ref="F8" si="0">IF(C8="","",(C8*E8))</f>
        <v>50414.521499999995</v>
      </c>
    </row>
    <row r="9" spans="1:7" ht="17.25" customHeight="1" x14ac:dyDescent="0.35">
      <c r="A9" s="25"/>
      <c r="B9" s="159"/>
      <c r="C9" s="18"/>
      <c r="D9" s="25"/>
      <c r="E9" s="256"/>
      <c r="F9" s="30"/>
    </row>
    <row r="10" spans="1:7" x14ac:dyDescent="0.45">
      <c r="A10" s="25"/>
      <c r="B10" s="22" t="s">
        <v>138</v>
      </c>
      <c r="C10" s="135"/>
      <c r="D10" s="136"/>
      <c r="E10" s="247"/>
      <c r="F10" s="192"/>
    </row>
    <row r="11" spans="1:7" x14ac:dyDescent="0.45">
      <c r="A11" s="25"/>
      <c r="B11" s="64"/>
      <c r="C11" s="135"/>
      <c r="D11" s="136"/>
      <c r="E11" s="247"/>
      <c r="F11" s="192"/>
    </row>
    <row r="12" spans="1:7" ht="76.900000000000006" x14ac:dyDescent="0.45">
      <c r="A12" s="25" t="s">
        <v>10</v>
      </c>
      <c r="B12" s="2" t="s">
        <v>441</v>
      </c>
      <c r="C12" s="135">
        <f>((5.538*2)*10.85)+5.51</f>
        <v>125.6846</v>
      </c>
      <c r="D12" s="136" t="s">
        <v>42</v>
      </c>
      <c r="E12" s="247">
        <v>135</v>
      </c>
      <c r="F12" s="192">
        <f t="shared" ref="F12" si="1">IF(C12="","",(C12*E12))</f>
        <v>16967.421000000002</v>
      </c>
    </row>
    <row r="13" spans="1:7" x14ac:dyDescent="0.45">
      <c r="A13" s="25"/>
      <c r="C13" s="135"/>
      <c r="D13" s="136"/>
      <c r="E13" s="247"/>
      <c r="F13" s="192"/>
    </row>
    <row r="14" spans="1:7" x14ac:dyDescent="0.45">
      <c r="A14" s="25"/>
      <c r="C14" s="135"/>
      <c r="D14" s="136"/>
      <c r="E14" s="247"/>
      <c r="F14" s="192"/>
    </row>
    <row r="15" spans="1:7" x14ac:dyDescent="0.45">
      <c r="A15" s="25"/>
      <c r="C15" s="135"/>
      <c r="D15" s="136"/>
      <c r="E15" s="247"/>
      <c r="F15" s="192"/>
    </row>
    <row r="16" spans="1:7" x14ac:dyDescent="0.45">
      <c r="A16" s="25"/>
      <c r="C16" s="135"/>
      <c r="D16" s="136"/>
      <c r="E16" s="247"/>
      <c r="F16" s="192"/>
    </row>
    <row r="17" spans="1:7" x14ac:dyDescent="0.45">
      <c r="A17" s="25"/>
      <c r="C17" s="135"/>
      <c r="D17" s="136"/>
      <c r="E17" s="247"/>
      <c r="F17" s="192"/>
    </row>
    <row r="18" spans="1:7" x14ac:dyDescent="0.45">
      <c r="A18" s="25"/>
      <c r="C18" s="135"/>
      <c r="D18" s="136"/>
      <c r="E18" s="247"/>
      <c r="F18" s="192"/>
    </row>
    <row r="19" spans="1:7" x14ac:dyDescent="0.45">
      <c r="A19" s="25"/>
      <c r="C19" s="135"/>
      <c r="D19" s="136"/>
      <c r="E19" s="247"/>
      <c r="F19" s="192"/>
    </row>
    <row r="20" spans="1:7" x14ac:dyDescent="0.45">
      <c r="A20" s="25"/>
      <c r="C20" s="151"/>
      <c r="D20" s="152"/>
      <c r="E20" s="246"/>
      <c r="F20" s="202"/>
    </row>
    <row r="21" spans="1:7" x14ac:dyDescent="0.35">
      <c r="A21" s="25"/>
      <c r="C21" s="18"/>
      <c r="D21" s="25"/>
      <c r="E21" s="256"/>
      <c r="F21" s="30"/>
    </row>
    <row r="22" spans="1:7" ht="16.5" customHeight="1" x14ac:dyDescent="0.35">
      <c r="A22" s="25"/>
      <c r="B22" s="22"/>
      <c r="C22" s="18"/>
      <c r="D22" s="25"/>
      <c r="E22" s="256"/>
      <c r="F22" s="30"/>
    </row>
    <row r="23" spans="1:7" x14ac:dyDescent="0.35">
      <c r="A23" s="25"/>
      <c r="B23" s="19"/>
      <c r="C23" s="18"/>
      <c r="D23" s="25"/>
      <c r="E23" s="256"/>
      <c r="F23" s="30"/>
    </row>
    <row r="24" spans="1:7" x14ac:dyDescent="0.45">
      <c r="A24" s="25"/>
      <c r="B24" s="287"/>
      <c r="C24" s="135"/>
      <c r="D24" s="152"/>
      <c r="E24" s="246"/>
      <c r="F24" s="288"/>
    </row>
    <row r="25" spans="1:7" x14ac:dyDescent="0.35">
      <c r="A25" s="25"/>
      <c r="B25" s="2"/>
      <c r="C25" s="18"/>
      <c r="D25" s="25"/>
      <c r="E25" s="256"/>
      <c r="F25" s="30"/>
    </row>
    <row r="26" spans="1:7" x14ac:dyDescent="0.35">
      <c r="A26" s="25"/>
      <c r="B26" s="22"/>
      <c r="C26" s="18"/>
      <c r="D26" s="25"/>
      <c r="E26" s="256"/>
      <c r="F26" s="30"/>
      <c r="G26" s="289" t="str">
        <f t="shared" ref="G26:G27" si="2">IF(D26="","",(D26*F26))</f>
        <v/>
      </c>
    </row>
    <row r="27" spans="1:7" x14ac:dyDescent="0.35">
      <c r="A27" s="25"/>
      <c r="B27" s="2"/>
      <c r="C27" s="18"/>
      <c r="D27" s="25"/>
      <c r="E27" s="256"/>
      <c r="F27" s="30"/>
      <c r="G27" s="289" t="str">
        <f t="shared" si="2"/>
        <v/>
      </c>
    </row>
    <row r="28" spans="1:7" x14ac:dyDescent="0.45">
      <c r="A28" s="25"/>
      <c r="B28" s="2"/>
      <c r="C28" s="258"/>
      <c r="D28" s="73"/>
      <c r="E28" s="75"/>
      <c r="F28" s="202"/>
      <c r="G28" s="290"/>
    </row>
    <row r="29" spans="1:7" x14ac:dyDescent="0.35">
      <c r="A29" s="25"/>
      <c r="C29" s="18"/>
      <c r="D29" s="25"/>
      <c r="E29" s="256"/>
      <c r="F29" s="30"/>
      <c r="G29" s="289"/>
    </row>
    <row r="30" spans="1:7" x14ac:dyDescent="0.35">
      <c r="A30" s="25"/>
      <c r="B30" s="2"/>
      <c r="C30" s="18"/>
      <c r="D30" s="25"/>
      <c r="E30" s="256"/>
      <c r="F30" s="30"/>
      <c r="G30" s="289" t="str">
        <f t="shared" ref="G30:G31" si="3">IF(D30="","",(D30*F30))</f>
        <v/>
      </c>
    </row>
    <row r="31" spans="1:7" x14ac:dyDescent="0.35">
      <c r="A31" s="25"/>
      <c r="B31" s="2"/>
      <c r="C31" s="18"/>
      <c r="D31" s="25"/>
      <c r="E31" s="256"/>
      <c r="F31" s="30"/>
      <c r="G31" s="289" t="str">
        <f t="shared" si="3"/>
        <v/>
      </c>
    </row>
    <row r="32" spans="1:7" x14ac:dyDescent="0.35">
      <c r="A32" s="25"/>
      <c r="B32" s="2"/>
      <c r="C32" s="18"/>
      <c r="D32" s="25"/>
      <c r="E32" s="256"/>
      <c r="F32" s="30"/>
      <c r="G32" s="289"/>
    </row>
    <row r="33" spans="1:7" x14ac:dyDescent="0.35">
      <c r="A33" s="25"/>
      <c r="C33" s="18"/>
      <c r="D33" s="25"/>
      <c r="E33" s="256"/>
      <c r="F33" s="30"/>
      <c r="G33" s="289"/>
    </row>
    <row r="34" spans="1:7" x14ac:dyDescent="0.35">
      <c r="A34" s="25"/>
      <c r="B34" s="2"/>
      <c r="C34" s="18"/>
      <c r="D34" s="25"/>
      <c r="E34" s="256"/>
      <c r="F34" s="30"/>
      <c r="G34" s="289"/>
    </row>
    <row r="35" spans="1:7" x14ac:dyDescent="0.35">
      <c r="A35" s="25"/>
      <c r="B35" s="74"/>
      <c r="C35" s="18"/>
      <c r="D35" s="25"/>
      <c r="E35" s="256"/>
      <c r="F35" s="30"/>
    </row>
    <row r="36" spans="1:7" x14ac:dyDescent="0.35">
      <c r="A36" s="25"/>
      <c r="B36" s="2"/>
      <c r="C36" s="18"/>
      <c r="D36" s="25"/>
      <c r="E36" s="256"/>
      <c r="F36" s="30"/>
    </row>
    <row r="37" spans="1:7" x14ac:dyDescent="0.35">
      <c r="A37" s="4"/>
      <c r="B37" s="6"/>
      <c r="C37" s="6"/>
      <c r="D37" s="23"/>
      <c r="E37" s="282"/>
      <c r="F37" s="31"/>
    </row>
    <row r="38" spans="1:7" x14ac:dyDescent="0.35">
      <c r="A38" s="7"/>
      <c r="B38" s="9"/>
      <c r="C38" s="9"/>
      <c r="D38" s="40" t="s">
        <v>27</v>
      </c>
      <c r="E38" s="283" t="s">
        <v>20</v>
      </c>
      <c r="F38" s="33">
        <f>SUM(F6:F36)</f>
        <v>67381.942500000005</v>
      </c>
    </row>
    <row r="39" spans="1:7" x14ac:dyDescent="0.35">
      <c r="A39" s="10"/>
      <c r="B39" s="12"/>
      <c r="C39" s="12"/>
      <c r="D39" s="24"/>
      <c r="E39" s="284"/>
      <c r="F39" s="34"/>
    </row>
    <row r="40" spans="1:7" ht="15" customHeight="1" x14ac:dyDescent="0.35">
      <c r="A40" s="25"/>
      <c r="B40" s="22"/>
      <c r="C40" s="18"/>
      <c r="D40" s="25"/>
      <c r="E40" s="256"/>
      <c r="F40" s="30"/>
    </row>
    <row r="41" spans="1:7" ht="18.75" customHeight="1" x14ac:dyDescent="0.35">
      <c r="A41" s="25"/>
      <c r="B41" s="2"/>
      <c r="C41" s="18"/>
      <c r="D41" s="25"/>
      <c r="E41" s="256"/>
      <c r="F41" s="30"/>
    </row>
    <row r="42" spans="1:7" ht="16.5" customHeight="1" x14ac:dyDescent="0.45">
      <c r="A42" s="25"/>
      <c r="B42" s="2"/>
      <c r="C42" s="135"/>
      <c r="D42" s="136"/>
      <c r="E42" s="247"/>
      <c r="F42" s="192"/>
    </row>
    <row r="43" spans="1:7" ht="16.5" customHeight="1" x14ac:dyDescent="0.35">
      <c r="A43" s="25"/>
      <c r="C43" s="18"/>
      <c r="D43" s="25"/>
      <c r="E43" s="256"/>
      <c r="F43" s="30"/>
    </row>
    <row r="44" spans="1:7" x14ac:dyDescent="0.35">
      <c r="A44" s="25"/>
      <c r="C44" s="18"/>
      <c r="D44" s="25"/>
      <c r="E44" s="256"/>
      <c r="F44" s="30"/>
    </row>
    <row r="45" spans="1:7" x14ac:dyDescent="0.35">
      <c r="A45" s="59"/>
      <c r="B45" s="22"/>
      <c r="C45" s="18"/>
      <c r="D45" s="25"/>
      <c r="E45" s="256"/>
      <c r="F45" s="30"/>
    </row>
    <row r="46" spans="1:7" x14ac:dyDescent="0.45">
      <c r="A46" s="25"/>
      <c r="B46" s="2"/>
      <c r="C46" s="135"/>
      <c r="D46" s="136"/>
      <c r="E46" s="247"/>
      <c r="F46" s="192"/>
    </row>
    <row r="47" spans="1:7" x14ac:dyDescent="0.35">
      <c r="A47" s="25"/>
      <c r="B47" s="2"/>
      <c r="C47" s="18"/>
      <c r="D47" s="25"/>
      <c r="E47" s="256"/>
      <c r="F47" s="30"/>
    </row>
    <row r="48" spans="1:7" x14ac:dyDescent="0.35">
      <c r="A48" s="25"/>
      <c r="C48" s="18"/>
      <c r="D48" s="25"/>
      <c r="E48" s="256"/>
      <c r="F48" s="30"/>
    </row>
    <row r="49" spans="1:6" x14ac:dyDescent="0.35">
      <c r="A49" s="25"/>
      <c r="B49" s="2"/>
      <c r="C49" s="18"/>
      <c r="D49" s="25"/>
      <c r="E49" s="256"/>
      <c r="F49" s="30"/>
    </row>
    <row r="50" spans="1:6" x14ac:dyDescent="0.45">
      <c r="A50" s="25"/>
      <c r="B50" s="22"/>
      <c r="C50" s="135"/>
      <c r="D50" s="136"/>
      <c r="E50" s="247"/>
      <c r="F50" s="192"/>
    </row>
    <row r="51" spans="1:6" x14ac:dyDescent="0.45">
      <c r="A51" s="25"/>
      <c r="B51" s="2"/>
      <c r="C51" s="135"/>
      <c r="D51" s="136"/>
      <c r="E51" s="247"/>
      <c r="F51" s="192"/>
    </row>
    <row r="52" spans="1:6" x14ac:dyDescent="0.35">
      <c r="A52" s="25"/>
      <c r="B52" s="2"/>
      <c r="C52" s="18"/>
      <c r="D52" s="25"/>
      <c r="E52" s="256"/>
      <c r="F52" s="30"/>
    </row>
    <row r="53" spans="1:6" x14ac:dyDescent="0.35">
      <c r="A53" s="25"/>
      <c r="B53" s="2"/>
      <c r="C53" s="18"/>
      <c r="D53" s="25"/>
      <c r="E53" s="256"/>
      <c r="F53" s="30"/>
    </row>
    <row r="54" spans="1:6" x14ac:dyDescent="0.45">
      <c r="A54" s="25"/>
      <c r="B54" s="22"/>
      <c r="C54" s="135"/>
      <c r="D54" s="136"/>
      <c r="E54" s="247"/>
      <c r="F54" s="192"/>
    </row>
    <row r="55" spans="1:6" x14ac:dyDescent="0.45">
      <c r="A55" s="25"/>
      <c r="B55" s="2"/>
      <c r="C55" s="135"/>
      <c r="D55" s="136"/>
      <c r="E55" s="247"/>
      <c r="F55" s="192"/>
    </row>
    <row r="56" spans="1:6" x14ac:dyDescent="0.45">
      <c r="A56" s="25"/>
      <c r="B56" s="2"/>
      <c r="C56" s="135"/>
      <c r="D56" s="136"/>
      <c r="E56" s="247"/>
      <c r="F56" s="192"/>
    </row>
    <row r="57" spans="1:6" x14ac:dyDescent="0.35">
      <c r="A57" s="25"/>
      <c r="B57" s="2"/>
      <c r="C57" s="18"/>
      <c r="D57" s="25"/>
      <c r="E57" s="256"/>
      <c r="F57" s="30"/>
    </row>
    <row r="58" spans="1:6" x14ac:dyDescent="0.35">
      <c r="A58" s="25"/>
      <c r="B58" s="2"/>
      <c r="C58" s="18"/>
      <c r="D58" s="25"/>
      <c r="E58" s="256"/>
      <c r="F58" s="30"/>
    </row>
    <row r="59" spans="1:6" x14ac:dyDescent="0.35">
      <c r="A59" s="25"/>
      <c r="B59" s="2"/>
      <c r="C59" s="18"/>
      <c r="D59" s="25"/>
      <c r="E59" s="256"/>
      <c r="F59" s="30"/>
    </row>
    <row r="60" spans="1:6" x14ac:dyDescent="0.35">
      <c r="A60" s="25"/>
      <c r="B60" s="2"/>
      <c r="C60" s="18"/>
      <c r="D60" s="25"/>
      <c r="E60" s="256"/>
      <c r="F60" s="30"/>
    </row>
    <row r="61" spans="1:6" x14ac:dyDescent="0.35">
      <c r="A61" s="25"/>
      <c r="B61" s="2"/>
      <c r="C61" s="18"/>
      <c r="D61" s="25"/>
      <c r="E61" s="256"/>
      <c r="F61" s="30"/>
    </row>
    <row r="62" spans="1:6" x14ac:dyDescent="0.35">
      <c r="A62" s="25"/>
      <c r="B62" s="2"/>
      <c r="C62" s="18"/>
      <c r="D62" s="25"/>
      <c r="E62" s="256"/>
      <c r="F62" s="30"/>
    </row>
    <row r="63" spans="1:6" x14ac:dyDescent="0.35">
      <c r="A63" s="25"/>
      <c r="B63" s="2"/>
      <c r="C63" s="18"/>
      <c r="D63" s="25"/>
      <c r="E63" s="256"/>
      <c r="F63" s="30"/>
    </row>
    <row r="64" spans="1:6" x14ac:dyDescent="0.35">
      <c r="A64" s="25"/>
      <c r="B64" s="22"/>
      <c r="C64" s="18"/>
      <c r="D64" s="25"/>
      <c r="E64" s="256"/>
      <c r="F64" s="30"/>
    </row>
    <row r="65" spans="1:6" x14ac:dyDescent="0.35">
      <c r="A65" s="25"/>
      <c r="B65" s="2"/>
      <c r="C65" s="18"/>
      <c r="D65" s="25"/>
      <c r="E65" s="256"/>
      <c r="F65" s="30"/>
    </row>
    <row r="66" spans="1:6" x14ac:dyDescent="0.45">
      <c r="A66" s="25"/>
      <c r="B66" s="2"/>
      <c r="C66" s="135"/>
      <c r="D66" s="152"/>
      <c r="E66" s="246"/>
      <c r="F66" s="202"/>
    </row>
    <row r="67" spans="1:6" x14ac:dyDescent="0.35">
      <c r="A67" s="25"/>
      <c r="B67" s="2"/>
      <c r="C67" s="18"/>
      <c r="D67" s="25"/>
      <c r="E67" s="256"/>
      <c r="F67" s="30"/>
    </row>
    <row r="68" spans="1:6" x14ac:dyDescent="0.35">
      <c r="A68" s="25"/>
      <c r="B68" s="2"/>
      <c r="C68" s="18"/>
      <c r="D68" s="25"/>
      <c r="E68" s="256"/>
      <c r="F68" s="30"/>
    </row>
    <row r="69" spans="1:6" x14ac:dyDescent="0.35">
      <c r="A69" s="25"/>
      <c r="B69" s="2"/>
      <c r="C69" s="18"/>
      <c r="D69" s="25"/>
      <c r="E69" s="256"/>
      <c r="F69" s="30"/>
    </row>
    <row r="70" spans="1:6" x14ac:dyDescent="0.35">
      <c r="A70" s="25"/>
      <c r="B70" s="2"/>
      <c r="C70" s="18"/>
      <c r="D70" s="25"/>
      <c r="E70" s="256"/>
      <c r="F70" s="30"/>
    </row>
    <row r="71" spans="1:6" x14ac:dyDescent="0.35">
      <c r="A71" s="25"/>
      <c r="B71" s="2"/>
      <c r="C71" s="18"/>
      <c r="D71" s="25"/>
      <c r="E71" s="256"/>
      <c r="F71" s="30"/>
    </row>
    <row r="72" spans="1:6" x14ac:dyDescent="0.35">
      <c r="A72" s="25"/>
      <c r="B72" s="19"/>
      <c r="C72" s="18"/>
      <c r="D72" s="25"/>
      <c r="E72" s="256"/>
      <c r="F72" s="30"/>
    </row>
    <row r="73" spans="1:6" x14ac:dyDescent="0.35">
      <c r="A73" s="4"/>
      <c r="B73" s="6"/>
      <c r="C73" s="6"/>
      <c r="D73" s="23"/>
      <c r="E73" s="282"/>
      <c r="F73" s="31"/>
    </row>
    <row r="74" spans="1:6" x14ac:dyDescent="0.35">
      <c r="A74" s="7"/>
      <c r="B74" s="9"/>
      <c r="C74" s="9"/>
      <c r="D74" s="40" t="s">
        <v>27</v>
      </c>
      <c r="E74" s="283" t="s">
        <v>20</v>
      </c>
      <c r="F74" s="33">
        <f>SUM(F40:F72)</f>
        <v>0</v>
      </c>
    </row>
    <row r="75" spans="1:6" x14ac:dyDescent="0.35">
      <c r="A75" s="10"/>
      <c r="B75" s="12"/>
      <c r="C75" s="12"/>
      <c r="D75" s="24"/>
      <c r="E75" s="284"/>
      <c r="F75" s="34"/>
    </row>
    <row r="76" spans="1:6" x14ac:dyDescent="0.35">
      <c r="A76" s="2"/>
      <c r="B76" s="2"/>
      <c r="C76" s="18"/>
      <c r="D76" s="25"/>
      <c r="E76" s="256"/>
      <c r="F76" s="30" t="str">
        <f>IF(C76="","",(C76*E76))</f>
        <v/>
      </c>
    </row>
    <row r="77" spans="1:6" ht="18.75" customHeight="1" x14ac:dyDescent="0.35">
      <c r="A77" s="2"/>
      <c r="B77" s="22"/>
      <c r="C77" s="18"/>
      <c r="D77" s="25"/>
      <c r="E77" s="285"/>
      <c r="F77" s="30"/>
    </row>
    <row r="78" spans="1:6" x14ac:dyDescent="0.35">
      <c r="A78" s="2"/>
      <c r="B78" s="20"/>
      <c r="C78" s="18"/>
      <c r="D78" s="25"/>
      <c r="E78" s="285"/>
      <c r="F78" s="30"/>
    </row>
    <row r="79" spans="1:6" x14ac:dyDescent="0.35">
      <c r="A79" s="2"/>
      <c r="B79" s="20"/>
      <c r="C79" s="18"/>
      <c r="D79" s="25"/>
      <c r="E79" s="285"/>
      <c r="F79" s="30"/>
    </row>
    <row r="80" spans="1:6" x14ac:dyDescent="0.35">
      <c r="A80" s="2"/>
      <c r="B80" s="20"/>
      <c r="C80" s="18"/>
      <c r="D80" s="25"/>
      <c r="E80" s="285"/>
      <c r="F80" s="30"/>
    </row>
    <row r="81" spans="1:6" x14ac:dyDescent="0.35">
      <c r="A81" s="2"/>
      <c r="B81" s="20"/>
      <c r="C81" s="18"/>
      <c r="D81" s="25"/>
      <c r="E81" s="285"/>
      <c r="F81" s="30"/>
    </row>
    <row r="82" spans="1:6" x14ac:dyDescent="0.35">
      <c r="A82" s="2"/>
      <c r="B82" s="20"/>
      <c r="C82" s="18"/>
      <c r="D82" s="25"/>
      <c r="E82" s="285"/>
      <c r="F82" s="30"/>
    </row>
    <row r="83" spans="1:6" x14ac:dyDescent="0.35">
      <c r="A83" s="2"/>
      <c r="B83" s="20"/>
      <c r="C83" s="18"/>
      <c r="D83" s="25"/>
      <c r="E83" s="285"/>
      <c r="F83" s="30"/>
    </row>
    <row r="84" spans="1:6" x14ac:dyDescent="0.35">
      <c r="A84" s="2"/>
      <c r="B84" s="20"/>
      <c r="C84" s="18"/>
      <c r="D84" s="25"/>
      <c r="E84" s="285"/>
      <c r="F84" s="30"/>
    </row>
    <row r="85" spans="1:6" x14ac:dyDescent="0.35">
      <c r="A85" s="2"/>
      <c r="B85" s="20"/>
      <c r="C85" s="18"/>
      <c r="D85" s="25"/>
      <c r="E85" s="285"/>
      <c r="F85" s="30"/>
    </row>
    <row r="86" spans="1:6" x14ac:dyDescent="0.35">
      <c r="A86" s="2"/>
      <c r="B86" s="20"/>
      <c r="C86" s="18"/>
      <c r="D86" s="25"/>
      <c r="E86" s="285"/>
      <c r="F86" s="30"/>
    </row>
    <row r="87" spans="1:6" x14ac:dyDescent="0.35">
      <c r="A87" s="2"/>
      <c r="B87" s="20"/>
      <c r="C87" s="18"/>
      <c r="D87" s="25"/>
      <c r="E87" s="285"/>
      <c r="F87" s="30"/>
    </row>
    <row r="88" spans="1:6" x14ac:dyDescent="0.35">
      <c r="A88" s="2"/>
      <c r="B88" s="20"/>
      <c r="C88" s="18"/>
      <c r="D88" s="25"/>
      <c r="E88" s="285"/>
      <c r="F88" s="30"/>
    </row>
    <row r="89" spans="1:6" x14ac:dyDescent="0.35">
      <c r="A89" s="2"/>
      <c r="B89" s="20"/>
      <c r="C89" s="18"/>
      <c r="D89" s="25"/>
      <c r="E89" s="285"/>
      <c r="F89" s="30"/>
    </row>
    <row r="90" spans="1:6" x14ac:dyDescent="0.35">
      <c r="A90" s="2"/>
      <c r="B90" s="20"/>
      <c r="C90" s="18"/>
      <c r="D90" s="25"/>
      <c r="E90" s="285"/>
      <c r="F90" s="30"/>
    </row>
    <row r="91" spans="1:6" x14ac:dyDescent="0.35">
      <c r="A91" s="2"/>
      <c r="B91" s="20"/>
      <c r="C91" s="18"/>
      <c r="D91" s="25"/>
      <c r="E91" s="285"/>
      <c r="F91" s="30"/>
    </row>
    <row r="92" spans="1:6" x14ac:dyDescent="0.35">
      <c r="A92" s="2"/>
      <c r="B92" s="20"/>
      <c r="C92" s="18"/>
      <c r="D92" s="25"/>
      <c r="E92" s="285"/>
      <c r="F92" s="30"/>
    </row>
    <row r="93" spans="1:6" x14ac:dyDescent="0.35">
      <c r="A93" s="2"/>
      <c r="B93" s="20"/>
      <c r="C93" s="18"/>
      <c r="D93" s="25"/>
      <c r="E93" s="285"/>
      <c r="F93" s="30"/>
    </row>
    <row r="94" spans="1:6" x14ac:dyDescent="0.35">
      <c r="A94" s="2"/>
      <c r="B94" s="20"/>
      <c r="C94" s="18"/>
      <c r="D94" s="25"/>
      <c r="E94" s="285"/>
      <c r="F94" s="30"/>
    </row>
    <row r="95" spans="1:6" x14ac:dyDescent="0.35">
      <c r="A95" s="2"/>
      <c r="B95" s="20"/>
      <c r="C95" s="18"/>
      <c r="D95" s="25"/>
      <c r="E95" s="285"/>
      <c r="F95" s="30"/>
    </row>
    <row r="96" spans="1:6" x14ac:dyDescent="0.35">
      <c r="A96" s="2"/>
      <c r="B96" s="20"/>
      <c r="C96" s="18"/>
      <c r="D96" s="25"/>
      <c r="E96" s="285"/>
      <c r="F96" s="30"/>
    </row>
    <row r="97" spans="1:6" x14ac:dyDescent="0.35">
      <c r="A97" s="2"/>
      <c r="B97" s="20"/>
      <c r="C97" s="18"/>
      <c r="D97" s="25"/>
      <c r="E97" s="285"/>
      <c r="F97" s="30"/>
    </row>
    <row r="98" spans="1:6" x14ac:dyDescent="0.35">
      <c r="A98" s="4"/>
      <c r="B98" s="6"/>
      <c r="C98" s="6"/>
      <c r="D98" s="23"/>
      <c r="E98" s="282"/>
      <c r="F98" s="31"/>
    </row>
    <row r="99" spans="1:6" x14ac:dyDescent="0.35">
      <c r="A99" s="7"/>
      <c r="B99" s="9"/>
      <c r="C99" s="9" t="s">
        <v>21</v>
      </c>
      <c r="D99" s="21"/>
      <c r="E99" s="286"/>
      <c r="F99" s="33">
        <f>SUM(F76:F97)</f>
        <v>0</v>
      </c>
    </row>
    <row r="100" spans="1:6" x14ac:dyDescent="0.35">
      <c r="A100" s="10"/>
      <c r="B100" s="12"/>
      <c r="C100" s="12"/>
      <c r="D100" s="24"/>
      <c r="E100" s="284"/>
      <c r="F100" s="34"/>
    </row>
  </sheetData>
  <pageMargins left="0.55118110236220474" right="0.19685039370078741" top="0.35433070866141736" bottom="0.55118110236220474" header="0.19685039370078741" footer="0.39370078740157483"/>
  <pageSetup paperSize="9" scale="66" orientation="portrait" r:id="rId1"/>
  <headerFooter alignWithMargins="0">
    <oddFooter>&amp;C&amp;"Times New Roman,Regular"Page 12/&amp;P</oddFooter>
  </headerFooter>
  <rowBreaks count="2" manualBreakCount="2">
    <brk id="39" max="16383" man="1"/>
    <brk id="7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75"/>
  <sheetViews>
    <sheetView view="pageBreakPreview" zoomScaleNormal="100" zoomScaleSheetLayoutView="100" workbookViewId="0">
      <selection activeCell="E79" sqref="E79"/>
    </sheetView>
  </sheetViews>
  <sheetFormatPr defaultColWidth="9.1328125" defaultRowHeight="15.4" x14ac:dyDescent="0.45"/>
  <cols>
    <col min="1" max="1" width="6.53125" style="1" customWidth="1"/>
    <col min="2" max="2" width="56.1328125" style="1" customWidth="1"/>
    <col min="3" max="3" width="11.46484375" style="155" customWidth="1"/>
    <col min="4" max="4" width="13.796875" style="156" customWidth="1"/>
    <col min="5" max="5" width="11.19921875" style="1" bestFit="1" customWidth="1"/>
    <col min="6" max="6" width="15.19921875" style="36" customWidth="1"/>
    <col min="7" max="7" width="41.796875" style="1" customWidth="1"/>
    <col min="8" max="16384" width="9.1328125" style="1"/>
  </cols>
  <sheetData>
    <row r="1" spans="1:7" x14ac:dyDescent="0.45">
      <c r="A1" s="4"/>
      <c r="B1" s="5"/>
      <c r="C1" s="137"/>
      <c r="D1" s="138"/>
      <c r="E1" s="5"/>
      <c r="F1" s="31"/>
    </row>
    <row r="2" spans="1:7" x14ac:dyDescent="0.4">
      <c r="A2" s="101" t="str">
        <f>'02 Plot Groundworks'!A2</f>
        <v>The Former Police Station, Haslingden</v>
      </c>
      <c r="B2" s="14"/>
      <c r="C2" s="139"/>
      <c r="D2" s="140" t="s">
        <v>301</v>
      </c>
      <c r="E2" s="14"/>
      <c r="F2" s="32" t="s">
        <v>39</v>
      </c>
    </row>
    <row r="3" spans="1:7" x14ac:dyDescent="0.45">
      <c r="A3" s="10"/>
      <c r="B3" s="11"/>
      <c r="C3" s="167"/>
      <c r="D3" s="179" t="s">
        <v>304</v>
      </c>
      <c r="E3" s="11"/>
      <c r="F3" s="34"/>
    </row>
    <row r="4" spans="1:7" x14ac:dyDescent="0.3">
      <c r="A4" s="29"/>
      <c r="B4" s="3" t="s">
        <v>22</v>
      </c>
      <c r="C4" s="142" t="s">
        <v>26</v>
      </c>
      <c r="D4" s="142" t="s">
        <v>23</v>
      </c>
      <c r="E4" s="3" t="s">
        <v>24</v>
      </c>
      <c r="F4" s="35" t="s">
        <v>25</v>
      </c>
      <c r="G4" s="178" t="s">
        <v>118</v>
      </c>
    </row>
    <row r="5" spans="1:7" x14ac:dyDescent="0.3">
      <c r="A5" s="25"/>
      <c r="B5" s="42"/>
      <c r="C5" s="180"/>
      <c r="D5" s="180"/>
      <c r="E5" s="42"/>
      <c r="F5" s="71"/>
      <c r="G5" s="178"/>
    </row>
    <row r="6" spans="1:7" x14ac:dyDescent="0.3">
      <c r="A6" s="25"/>
      <c r="B6" s="28" t="s">
        <v>307</v>
      </c>
      <c r="C6" s="180"/>
      <c r="D6" s="180"/>
      <c r="E6" s="42"/>
      <c r="F6" s="71"/>
      <c r="G6" s="178"/>
    </row>
    <row r="7" spans="1:7" ht="15.6" customHeight="1" x14ac:dyDescent="0.45">
      <c r="A7" s="25"/>
      <c r="B7" s="22"/>
      <c r="C7" s="135"/>
      <c r="D7" s="136"/>
      <c r="E7" s="16"/>
      <c r="F7" s="30"/>
    </row>
    <row r="8" spans="1:7" ht="15.6" customHeight="1" x14ac:dyDescent="0.45">
      <c r="A8" s="25"/>
      <c r="B8" s="22" t="s">
        <v>139</v>
      </c>
      <c r="C8" s="135"/>
      <c r="D8" s="136"/>
      <c r="E8" s="16"/>
      <c r="F8" s="30"/>
    </row>
    <row r="9" spans="1:7" ht="15.6" customHeight="1" x14ac:dyDescent="0.45">
      <c r="A9" s="25"/>
      <c r="B9" s="22"/>
      <c r="C9" s="135"/>
      <c r="D9" s="136"/>
      <c r="E9" s="16"/>
      <c r="F9" s="30"/>
    </row>
    <row r="10" spans="1:7" ht="46.15" x14ac:dyDescent="0.45">
      <c r="A10" s="25" t="s">
        <v>9</v>
      </c>
      <c r="B10" s="2" t="s">
        <v>305</v>
      </c>
      <c r="C10" s="135">
        <v>7686</v>
      </c>
      <c r="D10" s="136" t="s">
        <v>302</v>
      </c>
      <c r="E10" s="326">
        <v>4</v>
      </c>
      <c r="F10" s="192">
        <f t="shared" ref="F10" si="0">IF(C10="","",(C10*E10))</f>
        <v>30744</v>
      </c>
      <c r="G10" s="1" t="s">
        <v>303</v>
      </c>
    </row>
    <row r="11" spans="1:7" x14ac:dyDescent="0.4">
      <c r="A11" s="25"/>
      <c r="B11" s="159"/>
      <c r="C11" s="168"/>
      <c r="D11" s="163"/>
      <c r="E11" s="66"/>
      <c r="F11" s="67"/>
    </row>
    <row r="12" spans="1:7" x14ac:dyDescent="0.4">
      <c r="A12" s="25"/>
      <c r="B12" s="22" t="s">
        <v>138</v>
      </c>
      <c r="C12" s="168"/>
      <c r="D12" s="163"/>
      <c r="E12" s="66"/>
      <c r="F12" s="67"/>
    </row>
    <row r="13" spans="1:7" x14ac:dyDescent="0.4">
      <c r="A13" s="25"/>
      <c r="B13" s="64"/>
      <c r="C13" s="168"/>
      <c r="D13" s="163"/>
      <c r="E13" s="72"/>
      <c r="F13" s="67"/>
    </row>
    <row r="14" spans="1:7" ht="46.15" x14ac:dyDescent="0.45">
      <c r="A14" s="25" t="s">
        <v>10</v>
      </c>
      <c r="B14" s="2" t="s">
        <v>305</v>
      </c>
      <c r="C14" s="135">
        <v>2456</v>
      </c>
      <c r="D14" s="136" t="s">
        <v>302</v>
      </c>
      <c r="E14" s="250">
        <v>4</v>
      </c>
      <c r="F14" s="192">
        <f t="shared" ref="F14" si="1">IF(C14="","",(C14*E14))</f>
        <v>9824</v>
      </c>
      <c r="G14" s="1" t="s">
        <v>306</v>
      </c>
    </row>
    <row r="15" spans="1:7" x14ac:dyDescent="0.45">
      <c r="A15" s="25"/>
      <c r="B15" s="2"/>
      <c r="C15" s="135"/>
      <c r="D15" s="136"/>
      <c r="E15" s="17"/>
      <c r="F15" s="30"/>
    </row>
    <row r="16" spans="1:7" x14ac:dyDescent="0.45">
      <c r="A16" s="25"/>
      <c r="B16" s="19" t="s">
        <v>308</v>
      </c>
      <c r="C16" s="135"/>
      <c r="D16" s="136"/>
      <c r="E16" s="17"/>
      <c r="F16" s="62"/>
    </row>
    <row r="17" spans="1:7" x14ac:dyDescent="0.45">
      <c r="A17" s="25"/>
      <c r="B17" s="2"/>
      <c r="C17" s="135"/>
      <c r="D17" s="136"/>
      <c r="E17" s="17"/>
      <c r="F17" s="62"/>
    </row>
    <row r="18" spans="1:7" x14ac:dyDescent="0.45">
      <c r="A18" s="25"/>
      <c r="B18" s="22" t="s">
        <v>139</v>
      </c>
      <c r="C18" s="135"/>
      <c r="D18" s="136"/>
      <c r="E18" s="17"/>
      <c r="F18" s="62"/>
    </row>
    <row r="19" spans="1:7" x14ac:dyDescent="0.45">
      <c r="A19" s="25"/>
      <c r="B19" s="2"/>
      <c r="C19" s="135"/>
      <c r="D19" s="136"/>
      <c r="E19" s="17"/>
      <c r="F19" s="30"/>
    </row>
    <row r="20" spans="1:7" ht="76.900000000000006" x14ac:dyDescent="0.45">
      <c r="A20" s="25" t="s">
        <v>11</v>
      </c>
      <c r="B20" s="2" t="s">
        <v>309</v>
      </c>
      <c r="C20" s="135">
        <v>7686</v>
      </c>
      <c r="D20" s="136" t="s">
        <v>302</v>
      </c>
      <c r="E20" s="326">
        <v>0.5</v>
      </c>
      <c r="F20" s="192">
        <f t="shared" ref="F20" si="2">IF(C20="","",(C20*E20))</f>
        <v>3843</v>
      </c>
    </row>
    <row r="21" spans="1:7" ht="12.75" customHeight="1" x14ac:dyDescent="0.4">
      <c r="A21" s="25"/>
      <c r="B21" s="2"/>
      <c r="C21" s="168"/>
      <c r="D21" s="163"/>
      <c r="E21" s="66"/>
      <c r="F21" s="67"/>
    </row>
    <row r="22" spans="1:7" x14ac:dyDescent="0.4">
      <c r="A22" s="25"/>
      <c r="B22" s="22" t="s">
        <v>138</v>
      </c>
      <c r="C22" s="168"/>
      <c r="D22" s="163"/>
      <c r="E22" s="66"/>
      <c r="F22" s="67"/>
    </row>
    <row r="23" spans="1:7" ht="12.75" customHeight="1" x14ac:dyDescent="0.4">
      <c r="A23" s="25"/>
      <c r="B23" s="2"/>
      <c r="C23" s="168"/>
      <c r="D23" s="163"/>
      <c r="E23" s="72"/>
      <c r="F23" s="67"/>
    </row>
    <row r="24" spans="1:7" ht="76.900000000000006" x14ac:dyDescent="0.45">
      <c r="A24" s="25" t="s">
        <v>12</v>
      </c>
      <c r="B24" s="2" t="s">
        <v>309</v>
      </c>
      <c r="C24" s="135">
        <v>2456</v>
      </c>
      <c r="D24" s="136" t="s">
        <v>302</v>
      </c>
      <c r="E24" s="250">
        <v>0.5</v>
      </c>
      <c r="F24" s="192">
        <f t="shared" ref="F24:F54" si="3">IF(C24="","",(C24*E24))</f>
        <v>1228</v>
      </c>
    </row>
    <row r="25" spans="1:7" ht="15" customHeight="1" x14ac:dyDescent="0.45">
      <c r="A25" s="25"/>
      <c r="B25" s="2"/>
      <c r="C25" s="135"/>
      <c r="D25" s="136"/>
      <c r="E25" s="193"/>
      <c r="F25" s="192" t="str">
        <f t="shared" si="3"/>
        <v/>
      </c>
    </row>
    <row r="26" spans="1:7" ht="15" customHeight="1" x14ac:dyDescent="0.45">
      <c r="A26" s="25"/>
      <c r="B26" s="19" t="s">
        <v>442</v>
      </c>
      <c r="C26" s="135"/>
      <c r="D26" s="136"/>
      <c r="E26" s="193"/>
      <c r="F26" s="192"/>
    </row>
    <row r="27" spans="1:7" ht="15" customHeight="1" x14ac:dyDescent="0.45">
      <c r="A27" s="25"/>
      <c r="B27" s="2"/>
      <c r="C27" s="135"/>
      <c r="D27" s="136"/>
      <c r="E27" s="193"/>
      <c r="F27" s="192"/>
    </row>
    <row r="28" spans="1:7" x14ac:dyDescent="0.45">
      <c r="A28" s="25"/>
      <c r="B28" s="22" t="s">
        <v>139</v>
      </c>
      <c r="C28" s="135"/>
      <c r="D28" s="136"/>
      <c r="E28" s="193"/>
      <c r="F28" s="192" t="str">
        <f t="shared" si="3"/>
        <v/>
      </c>
    </row>
    <row r="29" spans="1:7" ht="15.6" customHeight="1" x14ac:dyDescent="0.45">
      <c r="A29" s="25"/>
      <c r="B29" s="2"/>
      <c r="C29" s="135"/>
      <c r="D29" s="136"/>
      <c r="E29" s="193"/>
      <c r="F29" s="192" t="str">
        <f t="shared" si="3"/>
        <v/>
      </c>
    </row>
    <row r="30" spans="1:7" ht="61.5" x14ac:dyDescent="0.45">
      <c r="A30" s="25" t="s">
        <v>13</v>
      </c>
      <c r="B30" s="2" t="s">
        <v>465</v>
      </c>
      <c r="C30" s="135">
        <v>6</v>
      </c>
      <c r="D30" s="136" t="s">
        <v>209</v>
      </c>
      <c r="E30" s="193">
        <v>12500</v>
      </c>
      <c r="F30" s="192">
        <f t="shared" si="3"/>
        <v>75000</v>
      </c>
      <c r="G30" s="1" t="s">
        <v>464</v>
      </c>
    </row>
    <row r="31" spans="1:7" ht="12.75" customHeight="1" x14ac:dyDescent="0.45">
      <c r="A31" s="25"/>
      <c r="B31" s="2"/>
      <c r="C31" s="135"/>
      <c r="D31" s="136"/>
      <c r="E31" s="17"/>
      <c r="F31" s="192" t="str">
        <f t="shared" si="3"/>
        <v/>
      </c>
    </row>
    <row r="32" spans="1:7" ht="15.6" customHeight="1" x14ac:dyDescent="0.45">
      <c r="A32" s="25"/>
      <c r="B32" s="22" t="s">
        <v>138</v>
      </c>
      <c r="C32" s="135"/>
      <c r="D32" s="136"/>
      <c r="E32" s="193"/>
      <c r="F32" s="192" t="str">
        <f t="shared" si="3"/>
        <v/>
      </c>
    </row>
    <row r="33" spans="1:7" ht="15.6" customHeight="1" x14ac:dyDescent="0.45">
      <c r="A33" s="25"/>
      <c r="B33" s="2"/>
      <c r="C33" s="135"/>
      <c r="D33" s="136"/>
      <c r="E33" s="17"/>
      <c r="F33" s="192" t="str">
        <f t="shared" si="3"/>
        <v/>
      </c>
    </row>
    <row r="34" spans="1:7" ht="61.5" x14ac:dyDescent="0.45">
      <c r="A34" s="25" t="s">
        <v>14</v>
      </c>
      <c r="B34" s="2" t="s">
        <v>465</v>
      </c>
      <c r="C34" s="135">
        <v>2</v>
      </c>
      <c r="D34" s="136" t="s">
        <v>209</v>
      </c>
      <c r="E34" s="250">
        <v>12500</v>
      </c>
      <c r="F34" s="192">
        <f t="shared" si="3"/>
        <v>25000</v>
      </c>
      <c r="G34" s="1" t="s">
        <v>434</v>
      </c>
    </row>
    <row r="35" spans="1:7" ht="15.6" customHeight="1" x14ac:dyDescent="0.45">
      <c r="A35" s="25"/>
      <c r="B35" s="2"/>
      <c r="C35" s="135"/>
      <c r="D35" s="136"/>
      <c r="E35" s="17"/>
      <c r="F35" s="192" t="str">
        <f t="shared" si="3"/>
        <v/>
      </c>
    </row>
    <row r="36" spans="1:7" ht="30.75" x14ac:dyDescent="0.45">
      <c r="A36" s="25"/>
      <c r="B36" s="19" t="s">
        <v>443</v>
      </c>
      <c r="C36" s="135"/>
      <c r="D36" s="136"/>
      <c r="E36" s="17"/>
      <c r="F36" s="192" t="str">
        <f t="shared" si="3"/>
        <v/>
      </c>
      <c r="G36" s="1" t="s">
        <v>445</v>
      </c>
    </row>
    <row r="37" spans="1:7" ht="14.1" customHeight="1" x14ac:dyDescent="0.45">
      <c r="A37" s="25"/>
      <c r="B37" s="68"/>
      <c r="C37" s="168"/>
      <c r="D37" s="163"/>
      <c r="E37" s="72"/>
      <c r="F37" s="192" t="str">
        <f t="shared" si="3"/>
        <v/>
      </c>
    </row>
    <row r="38" spans="1:7" ht="15" customHeight="1" x14ac:dyDescent="0.45">
      <c r="A38" s="25"/>
      <c r="B38" s="22" t="s">
        <v>139</v>
      </c>
      <c r="C38" s="168"/>
      <c r="D38" s="163"/>
      <c r="E38" s="72"/>
      <c r="F38" s="192" t="str">
        <f t="shared" si="3"/>
        <v/>
      </c>
    </row>
    <row r="39" spans="1:7" ht="14.1" customHeight="1" x14ac:dyDescent="0.45">
      <c r="A39" s="25"/>
      <c r="B39" s="84"/>
      <c r="C39" s="168"/>
      <c r="D39" s="163"/>
      <c r="E39" s="72"/>
      <c r="F39" s="192" t="str">
        <f t="shared" si="3"/>
        <v/>
      </c>
    </row>
    <row r="40" spans="1:7" x14ac:dyDescent="0.45">
      <c r="A40" s="25" t="s">
        <v>15</v>
      </c>
      <c r="B40" s="2" t="s">
        <v>444</v>
      </c>
      <c r="C40" s="135">
        <f>(3.13*1.25)*6</f>
        <v>23.474999999999998</v>
      </c>
      <c r="D40" s="136" t="s">
        <v>42</v>
      </c>
      <c r="E40" s="193">
        <v>75</v>
      </c>
      <c r="F40" s="192">
        <f t="shared" si="3"/>
        <v>1760.6249999999998</v>
      </c>
    </row>
    <row r="41" spans="1:7" x14ac:dyDescent="0.45">
      <c r="A41" s="25" t="s">
        <v>16</v>
      </c>
      <c r="B41" s="2" t="s">
        <v>446</v>
      </c>
      <c r="C41" s="135">
        <f>((2*1.2)+(2*0.33)+(2.58*2))*6</f>
        <v>49.320000000000007</v>
      </c>
      <c r="D41" s="136" t="s">
        <v>42</v>
      </c>
      <c r="E41" s="193">
        <v>75</v>
      </c>
      <c r="F41" s="192">
        <f t="shared" si="3"/>
        <v>3699.0000000000005</v>
      </c>
    </row>
    <row r="42" spans="1:7" x14ac:dyDescent="0.45">
      <c r="A42" s="25" t="s">
        <v>33</v>
      </c>
      <c r="B42" s="2" t="s">
        <v>447</v>
      </c>
      <c r="C42" s="135">
        <f>(2.38*1.2)*6</f>
        <v>17.135999999999999</v>
      </c>
      <c r="D42" s="136" t="s">
        <v>42</v>
      </c>
      <c r="E42" s="193">
        <v>75</v>
      </c>
      <c r="F42" s="192">
        <f t="shared" si="3"/>
        <v>1285.2</v>
      </c>
    </row>
    <row r="43" spans="1:7" x14ac:dyDescent="0.45">
      <c r="A43" s="25" t="s">
        <v>17</v>
      </c>
      <c r="B43" s="2" t="s">
        <v>448</v>
      </c>
      <c r="C43" s="135">
        <f>(2.24*1.5)*6</f>
        <v>20.160000000000004</v>
      </c>
      <c r="D43" s="136" t="s">
        <v>42</v>
      </c>
      <c r="E43" s="193">
        <v>75</v>
      </c>
      <c r="F43" s="192">
        <f t="shared" si="3"/>
        <v>1512.0000000000002</v>
      </c>
    </row>
    <row r="44" spans="1:7" x14ac:dyDescent="0.45">
      <c r="A44" s="25" t="s">
        <v>18</v>
      </c>
      <c r="B44" s="2" t="s">
        <v>449</v>
      </c>
      <c r="C44" s="135">
        <f>(1.63*2.5)*6</f>
        <v>24.449999999999996</v>
      </c>
      <c r="D44" s="136" t="s">
        <v>42</v>
      </c>
      <c r="E44" s="193">
        <v>75</v>
      </c>
      <c r="F44" s="192">
        <f t="shared" si="3"/>
        <v>1833.7499999999998</v>
      </c>
    </row>
    <row r="45" spans="1:7" x14ac:dyDescent="0.45">
      <c r="A45" s="25"/>
      <c r="B45" s="2"/>
      <c r="C45" s="135"/>
      <c r="D45" s="136"/>
      <c r="E45" s="17"/>
      <c r="F45" s="192" t="str">
        <f t="shared" si="3"/>
        <v/>
      </c>
    </row>
    <row r="46" spans="1:7" x14ac:dyDescent="0.45">
      <c r="A46" s="25"/>
      <c r="B46" s="22" t="s">
        <v>138</v>
      </c>
      <c r="C46" s="168"/>
      <c r="D46" s="163"/>
      <c r="E46" s="251"/>
      <c r="F46" s="192" t="str">
        <f t="shared" si="3"/>
        <v/>
      </c>
    </row>
    <row r="47" spans="1:7" x14ac:dyDescent="0.45">
      <c r="A47" s="25"/>
      <c r="B47" s="84"/>
      <c r="C47" s="168"/>
      <c r="D47" s="163"/>
      <c r="E47" s="193"/>
      <c r="F47" s="192" t="str">
        <f t="shared" si="3"/>
        <v/>
      </c>
    </row>
    <row r="48" spans="1:7" x14ac:dyDescent="0.45">
      <c r="A48" s="25" t="s">
        <v>19</v>
      </c>
      <c r="B48" s="2" t="s">
        <v>444</v>
      </c>
      <c r="C48" s="135">
        <f>(3.25*1.25)*2</f>
        <v>8.125</v>
      </c>
      <c r="D48" s="136" t="s">
        <v>42</v>
      </c>
      <c r="E48" s="193">
        <v>75</v>
      </c>
      <c r="F48" s="192">
        <f t="shared" si="3"/>
        <v>609.375</v>
      </c>
      <c r="G48" s="155"/>
    </row>
    <row r="49" spans="1:7" x14ac:dyDescent="0.45">
      <c r="A49" s="25" t="s">
        <v>4</v>
      </c>
      <c r="B49" s="2" t="s">
        <v>446</v>
      </c>
      <c r="C49" s="135">
        <f>((2*1.2)+(2*0.33)+(2.4*2))*2</f>
        <v>15.719999999999999</v>
      </c>
      <c r="D49" s="136" t="s">
        <v>42</v>
      </c>
      <c r="E49" s="193">
        <v>75</v>
      </c>
      <c r="F49" s="192">
        <f t="shared" si="3"/>
        <v>1179</v>
      </c>
      <c r="G49" s="192"/>
    </row>
    <row r="50" spans="1:7" x14ac:dyDescent="0.45">
      <c r="A50" s="25" t="s">
        <v>37</v>
      </c>
      <c r="B50" s="2" t="s">
        <v>447</v>
      </c>
      <c r="C50" s="135">
        <f>(1.93*1.2)*2</f>
        <v>4.6319999999999997</v>
      </c>
      <c r="D50" s="136" t="s">
        <v>42</v>
      </c>
      <c r="E50" s="193">
        <v>75</v>
      </c>
      <c r="F50" s="192">
        <f t="shared" si="3"/>
        <v>347.4</v>
      </c>
      <c r="G50" s="200"/>
    </row>
    <row r="51" spans="1:7" x14ac:dyDescent="0.45">
      <c r="A51" s="25" t="s">
        <v>105</v>
      </c>
      <c r="B51" s="2" t="s">
        <v>448</v>
      </c>
      <c r="C51" s="135">
        <f>(2.84*1.2)*2</f>
        <v>6.8159999999999998</v>
      </c>
      <c r="D51" s="136" t="s">
        <v>42</v>
      </c>
      <c r="E51" s="193">
        <v>75</v>
      </c>
      <c r="F51" s="192">
        <f t="shared" si="3"/>
        <v>511.2</v>
      </c>
    </row>
    <row r="52" spans="1:7" ht="14.1" customHeight="1" x14ac:dyDescent="0.45">
      <c r="A52" s="25" t="s">
        <v>106</v>
      </c>
      <c r="B52" s="2" t="s">
        <v>449</v>
      </c>
      <c r="C52" s="135">
        <f>(1.63*2.5)*2</f>
        <v>8.1499999999999986</v>
      </c>
      <c r="D52" s="136" t="s">
        <v>42</v>
      </c>
      <c r="E52" s="193">
        <v>75</v>
      </c>
      <c r="F52" s="192">
        <f t="shared" si="3"/>
        <v>611.24999999999989</v>
      </c>
    </row>
    <row r="53" spans="1:7" x14ac:dyDescent="0.45">
      <c r="A53" s="25"/>
      <c r="B53" s="2"/>
      <c r="C53" s="135"/>
      <c r="D53" s="136"/>
      <c r="E53" s="193"/>
      <c r="F53" s="192" t="str">
        <f t="shared" si="3"/>
        <v/>
      </c>
      <c r="G53" s="155"/>
    </row>
    <row r="54" spans="1:7" x14ac:dyDescent="0.45">
      <c r="A54" s="25"/>
      <c r="B54" s="2"/>
      <c r="C54" s="135"/>
      <c r="D54" s="136"/>
      <c r="E54" s="191"/>
      <c r="F54" s="192" t="str">
        <f t="shared" si="3"/>
        <v/>
      </c>
    </row>
    <row r="55" spans="1:7" ht="13.5" customHeight="1" x14ac:dyDescent="0.45">
      <c r="A55" s="25"/>
      <c r="B55" s="27"/>
      <c r="C55" s="135"/>
      <c r="D55" s="136"/>
      <c r="E55" s="17"/>
      <c r="F55" s="30" t="str">
        <f>IF(C55="","",(C55*E55))</f>
        <v/>
      </c>
    </row>
    <row r="56" spans="1:7" x14ac:dyDescent="0.45">
      <c r="A56" s="38"/>
      <c r="B56" s="6"/>
      <c r="C56" s="143"/>
      <c r="D56" s="144"/>
      <c r="E56" s="6"/>
      <c r="F56" s="31"/>
    </row>
    <row r="57" spans="1:7" x14ac:dyDescent="0.45">
      <c r="A57" s="39"/>
      <c r="B57" s="9"/>
      <c r="C57" s="145"/>
      <c r="D57" s="146" t="s">
        <v>27</v>
      </c>
      <c r="E57" s="40" t="s">
        <v>20</v>
      </c>
      <c r="F57" s="33">
        <f>SUM(F7:F56)</f>
        <v>158987.80000000002</v>
      </c>
    </row>
    <row r="58" spans="1:7" x14ac:dyDescent="0.45">
      <c r="A58" s="41"/>
      <c r="B58" s="12"/>
      <c r="C58" s="147"/>
      <c r="D58" s="148"/>
      <c r="E58" s="12"/>
      <c r="F58" s="34"/>
    </row>
    <row r="59" spans="1:7" x14ac:dyDescent="0.45">
      <c r="A59" s="25"/>
      <c r="B59" s="84"/>
      <c r="C59" s="135"/>
      <c r="D59" s="136"/>
      <c r="E59" s="17"/>
      <c r="F59" s="30"/>
    </row>
    <row r="60" spans="1:7" ht="30.75" x14ac:dyDescent="0.45">
      <c r="A60" s="25"/>
      <c r="B60" s="19" t="s">
        <v>450</v>
      </c>
      <c r="C60" s="135"/>
      <c r="D60" s="136"/>
      <c r="E60" s="17"/>
      <c r="F60" s="30"/>
      <c r="G60" s="1" t="s">
        <v>445</v>
      </c>
    </row>
    <row r="61" spans="1:7" x14ac:dyDescent="0.45">
      <c r="A61" s="25"/>
      <c r="B61" s="84"/>
      <c r="C61" s="135"/>
      <c r="D61" s="136"/>
      <c r="E61" s="17"/>
      <c r="F61" s="30"/>
    </row>
    <row r="62" spans="1:7" x14ac:dyDescent="0.45">
      <c r="A62" s="25"/>
      <c r="B62" s="22" t="s">
        <v>139</v>
      </c>
      <c r="C62" s="135"/>
      <c r="D62" s="136"/>
      <c r="E62" s="17"/>
      <c r="F62" s="30"/>
    </row>
    <row r="63" spans="1:7" x14ac:dyDescent="0.45">
      <c r="A63" s="25"/>
      <c r="B63" s="84"/>
      <c r="C63" s="135"/>
      <c r="D63" s="136"/>
      <c r="E63" s="17"/>
      <c r="F63" s="30"/>
    </row>
    <row r="64" spans="1:7" x14ac:dyDescent="0.45">
      <c r="A64" s="25" t="s">
        <v>107</v>
      </c>
      <c r="B64" s="2" t="s">
        <v>451</v>
      </c>
      <c r="C64" s="135">
        <f>22*6</f>
        <v>132</v>
      </c>
      <c r="D64" s="136" t="s">
        <v>42</v>
      </c>
      <c r="E64" s="17">
        <v>75</v>
      </c>
      <c r="F64" s="192">
        <f t="shared" ref="F64:F94" si="4">IF(C64="","",(C64*E64))</f>
        <v>9900</v>
      </c>
    </row>
    <row r="65" spans="1:6" x14ac:dyDescent="0.45">
      <c r="A65" s="25"/>
      <c r="B65" s="2"/>
      <c r="C65" s="135"/>
      <c r="D65" s="136"/>
      <c r="E65" s="191"/>
      <c r="F65" s="192" t="str">
        <f t="shared" si="4"/>
        <v/>
      </c>
    </row>
    <row r="66" spans="1:6" x14ac:dyDescent="0.45">
      <c r="A66" s="25"/>
      <c r="B66" s="22" t="s">
        <v>138</v>
      </c>
      <c r="C66" s="135"/>
      <c r="D66" s="136"/>
      <c r="E66" s="17"/>
      <c r="F66" s="192" t="str">
        <f t="shared" si="4"/>
        <v/>
      </c>
    </row>
    <row r="67" spans="1:6" x14ac:dyDescent="0.45">
      <c r="A67" s="25"/>
      <c r="B67" s="84"/>
      <c r="C67" s="135"/>
      <c r="D67" s="136"/>
      <c r="E67" s="193"/>
      <c r="F67" s="192" t="str">
        <f t="shared" si="4"/>
        <v/>
      </c>
    </row>
    <row r="68" spans="1:6" x14ac:dyDescent="0.45">
      <c r="A68" s="25" t="s">
        <v>108</v>
      </c>
      <c r="B68" s="2" t="s">
        <v>451</v>
      </c>
      <c r="C68" s="135">
        <f>24*2</f>
        <v>48</v>
      </c>
      <c r="D68" s="136" t="s">
        <v>42</v>
      </c>
      <c r="E68" s="17">
        <v>75</v>
      </c>
      <c r="F68" s="192">
        <f t="shared" si="4"/>
        <v>3600</v>
      </c>
    </row>
    <row r="69" spans="1:6" x14ac:dyDescent="0.45">
      <c r="A69" s="25"/>
      <c r="B69" s="2"/>
      <c r="C69" s="135"/>
      <c r="D69" s="136"/>
      <c r="E69" s="193"/>
      <c r="F69" s="192" t="str">
        <f t="shared" si="4"/>
        <v/>
      </c>
    </row>
    <row r="70" spans="1:6" x14ac:dyDescent="0.45">
      <c r="A70" s="25"/>
      <c r="B70" s="19" t="s">
        <v>452</v>
      </c>
      <c r="C70" s="135"/>
      <c r="D70" s="136"/>
      <c r="E70" s="193"/>
      <c r="F70" s="192" t="str">
        <f t="shared" si="4"/>
        <v/>
      </c>
    </row>
    <row r="71" spans="1:6" x14ac:dyDescent="0.45">
      <c r="A71" s="25"/>
      <c r="B71" s="84"/>
      <c r="C71" s="135"/>
      <c r="D71" s="136"/>
      <c r="E71" s="193"/>
      <c r="F71" s="192" t="str">
        <f t="shared" si="4"/>
        <v/>
      </c>
    </row>
    <row r="72" spans="1:6" x14ac:dyDescent="0.45">
      <c r="A72" s="25"/>
      <c r="B72" s="22" t="s">
        <v>139</v>
      </c>
      <c r="C72" s="135"/>
      <c r="D72" s="136"/>
      <c r="E72" s="193"/>
      <c r="F72" s="192" t="str">
        <f t="shared" si="4"/>
        <v/>
      </c>
    </row>
    <row r="73" spans="1:6" x14ac:dyDescent="0.45">
      <c r="A73" s="25"/>
      <c r="B73" s="84"/>
      <c r="C73" s="135"/>
      <c r="D73" s="136"/>
      <c r="E73" s="193"/>
      <c r="F73" s="192" t="str">
        <f t="shared" si="4"/>
        <v/>
      </c>
    </row>
    <row r="74" spans="1:6" ht="30.75" x14ac:dyDescent="0.45">
      <c r="A74" s="25" t="s">
        <v>109</v>
      </c>
      <c r="B74" s="2" t="s">
        <v>453</v>
      </c>
      <c r="C74" s="135">
        <f>471+72+18</f>
        <v>561</v>
      </c>
      <c r="D74" s="136" t="s">
        <v>42</v>
      </c>
      <c r="E74" s="193">
        <v>30</v>
      </c>
      <c r="F74" s="192">
        <f t="shared" si="4"/>
        <v>16830</v>
      </c>
    </row>
    <row r="75" spans="1:6" x14ac:dyDescent="0.45">
      <c r="A75" s="25"/>
      <c r="B75" s="2"/>
      <c r="C75" s="135"/>
      <c r="D75" s="136"/>
      <c r="E75" s="193"/>
      <c r="F75" s="192" t="str">
        <f t="shared" si="4"/>
        <v/>
      </c>
    </row>
    <row r="76" spans="1:6" ht="12.95" customHeight="1" x14ac:dyDescent="0.45">
      <c r="A76" s="78"/>
      <c r="B76" s="22" t="s">
        <v>138</v>
      </c>
      <c r="C76" s="135"/>
      <c r="D76" s="136"/>
      <c r="E76" s="193"/>
      <c r="F76" s="192" t="str">
        <f t="shared" si="4"/>
        <v/>
      </c>
    </row>
    <row r="77" spans="1:6" x14ac:dyDescent="0.45">
      <c r="A77" s="25"/>
      <c r="B77" s="84"/>
      <c r="C77" s="135"/>
      <c r="D77" s="136"/>
      <c r="E77" s="193"/>
      <c r="F77" s="192" t="str">
        <f t="shared" si="4"/>
        <v/>
      </c>
    </row>
    <row r="78" spans="1:6" ht="30.75" x14ac:dyDescent="0.45">
      <c r="A78" s="25" t="s">
        <v>110</v>
      </c>
      <c r="B78" s="2" t="s">
        <v>453</v>
      </c>
      <c r="C78" s="135">
        <f>(76+12)*2</f>
        <v>176</v>
      </c>
      <c r="D78" s="136" t="s">
        <v>42</v>
      </c>
      <c r="E78" s="193">
        <v>30</v>
      </c>
      <c r="F78" s="192">
        <f t="shared" si="4"/>
        <v>5280</v>
      </c>
    </row>
    <row r="79" spans="1:6" x14ac:dyDescent="0.45">
      <c r="A79" s="25"/>
      <c r="B79" s="27"/>
      <c r="C79" s="135"/>
      <c r="D79" s="136"/>
      <c r="E79" s="193"/>
      <c r="F79" s="192" t="str">
        <f t="shared" si="4"/>
        <v/>
      </c>
    </row>
    <row r="80" spans="1:6" x14ac:dyDescent="0.45">
      <c r="A80" s="25"/>
      <c r="B80" s="19" t="s">
        <v>462</v>
      </c>
      <c r="C80" s="135"/>
      <c r="D80" s="136"/>
      <c r="E80" s="193"/>
      <c r="F80" s="192" t="str">
        <f t="shared" ref="F80:F88" si="5">IF(C80="","",(C80*E80))</f>
        <v/>
      </c>
    </row>
    <row r="81" spans="1:6" x14ac:dyDescent="0.45">
      <c r="A81" s="25"/>
      <c r="B81" s="84"/>
      <c r="C81" s="135"/>
      <c r="D81" s="136"/>
      <c r="E81" s="193"/>
      <c r="F81" s="192" t="str">
        <f t="shared" si="5"/>
        <v/>
      </c>
    </row>
    <row r="82" spans="1:6" x14ac:dyDescent="0.45">
      <c r="A82" s="78"/>
      <c r="B82" s="22" t="s">
        <v>139</v>
      </c>
      <c r="C82" s="135"/>
      <c r="D82" s="136"/>
      <c r="E82" s="193"/>
      <c r="F82" s="192" t="str">
        <f t="shared" si="5"/>
        <v/>
      </c>
    </row>
    <row r="83" spans="1:6" x14ac:dyDescent="0.45">
      <c r="A83" s="25"/>
      <c r="B83" s="84"/>
      <c r="C83" s="135"/>
      <c r="D83" s="136"/>
      <c r="E83" s="193"/>
      <c r="F83" s="192" t="str">
        <f t="shared" si="5"/>
        <v/>
      </c>
    </row>
    <row r="84" spans="1:6" x14ac:dyDescent="0.45">
      <c r="A84" s="25" t="s">
        <v>111</v>
      </c>
      <c r="B84" s="2" t="s">
        <v>463</v>
      </c>
      <c r="C84" s="135">
        <v>6</v>
      </c>
      <c r="D84" s="136" t="s">
        <v>209</v>
      </c>
      <c r="E84" s="193">
        <v>650</v>
      </c>
      <c r="F84" s="192">
        <f t="shared" si="5"/>
        <v>3900</v>
      </c>
    </row>
    <row r="85" spans="1:6" x14ac:dyDescent="0.45">
      <c r="A85" s="25"/>
      <c r="B85" s="2"/>
      <c r="C85" s="135"/>
      <c r="D85" s="136"/>
      <c r="E85" s="193"/>
      <c r="F85" s="192" t="str">
        <f t="shared" si="5"/>
        <v/>
      </c>
    </row>
    <row r="86" spans="1:6" x14ac:dyDescent="0.45">
      <c r="A86" s="25"/>
      <c r="B86" s="22" t="s">
        <v>138</v>
      </c>
      <c r="C86" s="135"/>
      <c r="D86" s="136"/>
      <c r="E86" s="193"/>
      <c r="F86" s="192" t="str">
        <f t="shared" si="5"/>
        <v/>
      </c>
    </row>
    <row r="87" spans="1:6" x14ac:dyDescent="0.45">
      <c r="A87" s="25"/>
      <c r="B87" s="84"/>
      <c r="C87" s="135"/>
      <c r="D87" s="136"/>
      <c r="E87" s="193"/>
      <c r="F87" s="192" t="str">
        <f t="shared" si="5"/>
        <v/>
      </c>
    </row>
    <row r="88" spans="1:6" x14ac:dyDescent="0.45">
      <c r="A88" s="25" t="s">
        <v>112</v>
      </c>
      <c r="B88" s="2" t="s">
        <v>463</v>
      </c>
      <c r="C88" s="135">
        <v>2</v>
      </c>
      <c r="D88" s="136" t="s">
        <v>209</v>
      </c>
      <c r="E88" s="193">
        <v>650</v>
      </c>
      <c r="F88" s="192">
        <f t="shared" si="5"/>
        <v>1300</v>
      </c>
    </row>
    <row r="89" spans="1:6" x14ac:dyDescent="0.45">
      <c r="A89" s="25"/>
      <c r="B89" s="2"/>
      <c r="C89" s="135"/>
      <c r="D89" s="136"/>
      <c r="E89" s="191"/>
      <c r="F89" s="192" t="str">
        <f t="shared" si="4"/>
        <v/>
      </c>
    </row>
    <row r="90" spans="1:6" ht="12.95" customHeight="1" x14ac:dyDescent="0.45">
      <c r="A90" s="25"/>
      <c r="B90" s="123"/>
      <c r="C90" s="135"/>
      <c r="D90" s="136"/>
      <c r="E90" s="17"/>
      <c r="F90" s="192" t="str">
        <f t="shared" si="4"/>
        <v/>
      </c>
    </row>
    <row r="91" spans="1:6" x14ac:dyDescent="0.45">
      <c r="A91" s="131"/>
      <c r="B91" s="130"/>
      <c r="C91" s="312"/>
      <c r="D91" s="309"/>
      <c r="E91" s="313"/>
      <c r="F91" s="192" t="str">
        <f t="shared" si="4"/>
        <v/>
      </c>
    </row>
    <row r="92" spans="1:6" ht="14.45" customHeight="1" x14ac:dyDescent="0.45">
      <c r="A92" s="25"/>
      <c r="B92" s="27"/>
      <c r="C92" s="135"/>
      <c r="D92" s="136"/>
      <c r="E92" s="17"/>
      <c r="F92" s="192" t="str">
        <f t="shared" si="4"/>
        <v/>
      </c>
    </row>
    <row r="93" spans="1:6" x14ac:dyDescent="0.45">
      <c r="A93" s="131"/>
      <c r="B93" s="130"/>
      <c r="C93" s="308"/>
      <c r="D93" s="309"/>
      <c r="E93" s="313"/>
      <c r="F93" s="192" t="str">
        <f t="shared" si="4"/>
        <v/>
      </c>
    </row>
    <row r="94" spans="1:6" ht="12.95" customHeight="1" x14ac:dyDescent="0.45">
      <c r="A94" s="25"/>
      <c r="B94" s="80"/>
      <c r="C94" s="135"/>
      <c r="D94" s="136"/>
      <c r="E94" s="17"/>
      <c r="F94" s="192" t="str">
        <f t="shared" si="4"/>
        <v/>
      </c>
    </row>
    <row r="95" spans="1:6" x14ac:dyDescent="0.45">
      <c r="A95" s="25"/>
      <c r="B95" s="27"/>
      <c r="C95" s="135"/>
      <c r="D95" s="136"/>
      <c r="E95" s="193"/>
      <c r="F95" s="192"/>
    </row>
    <row r="96" spans="1:6" x14ac:dyDescent="0.45">
      <c r="A96" s="38"/>
      <c r="B96" s="6"/>
      <c r="C96" s="143"/>
      <c r="D96" s="144"/>
      <c r="E96" s="6"/>
      <c r="F96" s="31"/>
    </row>
    <row r="97" spans="1:6" x14ac:dyDescent="0.45">
      <c r="A97" s="39"/>
      <c r="B97" s="9"/>
      <c r="C97" s="145"/>
      <c r="D97" s="146" t="s">
        <v>27</v>
      </c>
      <c r="E97" s="40" t="s">
        <v>20</v>
      </c>
      <c r="F97" s="33">
        <f>SUM(F59:F96)</f>
        <v>40810</v>
      </c>
    </row>
    <row r="98" spans="1:6" x14ac:dyDescent="0.45">
      <c r="A98" s="41"/>
      <c r="B98" s="12"/>
      <c r="C98" s="147"/>
      <c r="D98" s="148"/>
      <c r="E98" s="12"/>
      <c r="F98" s="34"/>
    </row>
    <row r="99" spans="1:6" x14ac:dyDescent="0.45">
      <c r="A99" s="91"/>
      <c r="B99" s="92"/>
      <c r="C99" s="149"/>
      <c r="D99" s="150"/>
      <c r="E99" s="92"/>
      <c r="F99" s="31"/>
    </row>
    <row r="100" spans="1:6" x14ac:dyDescent="0.45">
      <c r="A100" s="25"/>
      <c r="B100" s="84"/>
      <c r="C100" s="135"/>
      <c r="D100" s="136"/>
      <c r="E100" s="16"/>
      <c r="F100" s="30"/>
    </row>
    <row r="101" spans="1:6" x14ac:dyDescent="0.45">
      <c r="A101" s="25"/>
      <c r="B101" s="22"/>
      <c r="C101" s="135"/>
      <c r="D101" s="136"/>
      <c r="E101" s="16"/>
      <c r="F101" s="30"/>
    </row>
    <row r="102" spans="1:6" x14ac:dyDescent="0.45">
      <c r="A102" s="25"/>
      <c r="B102" s="84"/>
      <c r="C102" s="135"/>
      <c r="D102" s="136"/>
      <c r="E102" s="16"/>
      <c r="F102" s="30"/>
    </row>
    <row r="103" spans="1:6" x14ac:dyDescent="0.45">
      <c r="A103" s="25"/>
      <c r="B103" s="84"/>
      <c r="C103" s="135"/>
      <c r="D103" s="136"/>
      <c r="E103" s="16"/>
      <c r="F103" s="30"/>
    </row>
    <row r="104" spans="1:6" x14ac:dyDescent="0.45">
      <c r="A104" s="25"/>
      <c r="B104" s="2"/>
      <c r="C104" s="135"/>
      <c r="D104" s="136"/>
      <c r="E104" s="191"/>
      <c r="F104" s="192"/>
    </row>
    <row r="105" spans="1:6" x14ac:dyDescent="0.45">
      <c r="A105" s="25"/>
      <c r="B105" s="94"/>
      <c r="C105" s="135"/>
      <c r="D105" s="136"/>
      <c r="E105" s="191"/>
      <c r="F105" s="192"/>
    </row>
    <row r="106" spans="1:6" x14ac:dyDescent="0.45">
      <c r="A106" s="25"/>
      <c r="B106" s="2"/>
      <c r="C106" s="135"/>
      <c r="D106" s="136"/>
      <c r="E106" s="191"/>
      <c r="F106" s="192"/>
    </row>
    <row r="107" spans="1:6" x14ac:dyDescent="0.45">
      <c r="A107" s="25"/>
      <c r="B107" s="95"/>
      <c r="C107" s="135"/>
      <c r="D107" s="136"/>
      <c r="E107" s="16"/>
      <c r="F107" s="30"/>
    </row>
    <row r="108" spans="1:6" x14ac:dyDescent="0.45">
      <c r="A108" s="25"/>
      <c r="B108" s="27"/>
      <c r="C108" s="151"/>
      <c r="D108" s="152"/>
      <c r="E108" s="251"/>
      <c r="F108" s="202"/>
    </row>
    <row r="109" spans="1:6" x14ac:dyDescent="0.45">
      <c r="A109" s="25"/>
      <c r="B109" s="2"/>
      <c r="C109" s="135"/>
      <c r="D109" s="136"/>
      <c r="E109" s="17"/>
      <c r="F109" s="30"/>
    </row>
    <row r="110" spans="1:6" x14ac:dyDescent="0.45">
      <c r="A110" s="25"/>
      <c r="B110" s="84"/>
      <c r="C110" s="135"/>
      <c r="D110" s="136"/>
      <c r="E110" s="17"/>
      <c r="F110" s="30"/>
    </row>
    <row r="111" spans="1:6" x14ac:dyDescent="0.45">
      <c r="A111" s="25"/>
      <c r="B111" s="95"/>
      <c r="C111" s="135"/>
      <c r="D111" s="136"/>
      <c r="E111" s="17"/>
      <c r="F111" s="30"/>
    </row>
    <row r="112" spans="1:6" x14ac:dyDescent="0.45">
      <c r="A112" s="25"/>
      <c r="B112" s="2"/>
      <c r="C112" s="135"/>
      <c r="D112" s="136"/>
      <c r="E112" s="193"/>
      <c r="F112" s="192"/>
    </row>
    <row r="113" spans="1:7" ht="12.95" customHeight="1" x14ac:dyDescent="0.45">
      <c r="A113" s="25"/>
      <c r="B113" s="22"/>
      <c r="C113" s="135"/>
      <c r="D113" s="136"/>
      <c r="E113" s="191"/>
      <c r="F113" s="192"/>
    </row>
    <row r="114" spans="1:7" ht="33" customHeight="1" x14ac:dyDescent="0.45">
      <c r="A114" s="25"/>
      <c r="B114" s="2"/>
      <c r="C114" s="135"/>
      <c r="D114" s="136"/>
      <c r="E114" s="193"/>
      <c r="F114" s="192"/>
    </row>
    <row r="115" spans="1:7" ht="12.95" customHeight="1" x14ac:dyDescent="0.45">
      <c r="A115" s="25"/>
      <c r="B115" s="22"/>
      <c r="C115" s="135"/>
      <c r="D115" s="136"/>
      <c r="E115" s="193"/>
      <c r="F115" s="192"/>
    </row>
    <row r="116" spans="1:7" ht="32.1" customHeight="1" x14ac:dyDescent="0.45">
      <c r="A116" s="25"/>
      <c r="B116" s="2"/>
      <c r="C116" s="151"/>
      <c r="D116" s="152"/>
      <c r="E116" s="251"/>
      <c r="F116" s="202"/>
    </row>
    <row r="117" spans="1:7" ht="12.95" customHeight="1" x14ac:dyDescent="0.45">
      <c r="A117" s="25"/>
      <c r="B117" s="22"/>
      <c r="C117" s="135"/>
      <c r="D117" s="136"/>
      <c r="E117" s="193"/>
      <c r="F117" s="192"/>
    </row>
    <row r="118" spans="1:7" x14ac:dyDescent="0.45">
      <c r="A118" s="25"/>
      <c r="B118" s="2"/>
      <c r="C118" s="135"/>
      <c r="D118" s="136"/>
      <c r="E118" s="193"/>
      <c r="F118" s="192"/>
    </row>
    <row r="119" spans="1:7" ht="12.95" customHeight="1" x14ac:dyDescent="0.45">
      <c r="A119" s="25"/>
      <c r="B119" s="22"/>
      <c r="C119" s="135"/>
      <c r="D119" s="136"/>
      <c r="E119" s="191"/>
      <c r="F119" s="192"/>
    </row>
    <row r="120" spans="1:7" x14ac:dyDescent="0.45">
      <c r="A120" s="25"/>
      <c r="B120" s="2"/>
      <c r="C120" s="135"/>
      <c r="D120" s="136"/>
      <c r="E120" s="251"/>
      <c r="F120" s="202"/>
      <c r="G120" s="155"/>
    </row>
    <row r="121" spans="1:7" ht="12.95" customHeight="1" x14ac:dyDescent="0.45">
      <c r="A121" s="25"/>
      <c r="B121" s="22"/>
      <c r="C121" s="135"/>
      <c r="D121" s="136"/>
      <c r="E121" s="193"/>
      <c r="F121" s="192"/>
    </row>
    <row r="122" spans="1:7" x14ac:dyDescent="0.45">
      <c r="A122" s="25"/>
      <c r="B122" s="2"/>
      <c r="C122" s="135"/>
      <c r="D122" s="152"/>
      <c r="E122" s="201"/>
      <c r="F122" s="202"/>
    </row>
    <row r="123" spans="1:7" ht="12.95" customHeight="1" x14ac:dyDescent="0.45">
      <c r="A123" s="25"/>
      <c r="B123" s="22"/>
      <c r="C123" s="135"/>
      <c r="D123" s="136"/>
      <c r="E123" s="17"/>
      <c r="F123" s="30"/>
    </row>
    <row r="124" spans="1:7" x14ac:dyDescent="0.45">
      <c r="A124" s="25"/>
      <c r="B124" s="2"/>
      <c r="C124" s="135"/>
      <c r="D124" s="136"/>
      <c r="E124" s="193"/>
      <c r="F124" s="192"/>
    </row>
    <row r="125" spans="1:7" ht="12.95" customHeight="1" x14ac:dyDescent="0.45">
      <c r="A125" s="25"/>
      <c r="B125" s="126"/>
      <c r="C125" s="135"/>
      <c r="D125" s="136"/>
      <c r="E125" s="17"/>
      <c r="F125" s="30"/>
    </row>
    <row r="126" spans="1:7" x14ac:dyDescent="0.45">
      <c r="A126" s="25"/>
      <c r="B126" s="2"/>
      <c r="C126" s="135"/>
      <c r="D126" s="136"/>
      <c r="E126" s="251"/>
      <c r="F126" s="202"/>
    </row>
    <row r="127" spans="1:7" ht="12.95" customHeight="1" x14ac:dyDescent="0.45">
      <c r="A127" s="25"/>
      <c r="B127" s="22"/>
      <c r="C127" s="135"/>
      <c r="D127" s="136"/>
      <c r="E127" s="16"/>
      <c r="F127" s="30"/>
    </row>
    <row r="128" spans="1:7" x14ac:dyDescent="0.45">
      <c r="A128" s="25"/>
      <c r="B128" s="2"/>
      <c r="C128" s="135"/>
      <c r="D128" s="152"/>
      <c r="E128" s="251"/>
      <c r="F128" s="202"/>
    </row>
    <row r="129" spans="1:6" x14ac:dyDescent="0.45">
      <c r="A129" s="25"/>
      <c r="B129" s="80"/>
      <c r="C129" s="135"/>
      <c r="D129" s="136"/>
      <c r="E129" s="17"/>
      <c r="F129" s="30"/>
    </row>
    <row r="130" spans="1:6" x14ac:dyDescent="0.45">
      <c r="A130" s="25"/>
      <c r="B130" s="2"/>
      <c r="C130" s="135"/>
      <c r="D130" s="136"/>
      <c r="E130" s="193"/>
      <c r="F130" s="192"/>
    </row>
    <row r="131" spans="1:6" x14ac:dyDescent="0.45">
      <c r="A131" s="25"/>
      <c r="B131" s="27"/>
      <c r="C131" s="135"/>
      <c r="D131" s="136"/>
      <c r="E131" s="16"/>
      <c r="F131" s="30" t="str">
        <f>IF(C131="","",(C131*E131))</f>
        <v/>
      </c>
    </row>
    <row r="132" spans="1:6" ht="12.95" customHeight="1" x14ac:dyDescent="0.45">
      <c r="A132" s="83"/>
      <c r="B132" s="127"/>
      <c r="C132" s="170"/>
      <c r="D132" s="165"/>
      <c r="E132" s="129"/>
      <c r="F132" s="44"/>
    </row>
    <row r="133" spans="1:6" x14ac:dyDescent="0.45">
      <c r="A133" s="38"/>
      <c r="B133" s="6"/>
      <c r="C133" s="143"/>
      <c r="D133" s="144"/>
      <c r="E133" s="6"/>
      <c r="F133" s="31"/>
    </row>
    <row r="134" spans="1:6" x14ac:dyDescent="0.45">
      <c r="A134" s="39"/>
      <c r="B134" s="9"/>
      <c r="C134" s="145"/>
      <c r="D134" s="146" t="s">
        <v>27</v>
      </c>
      <c r="E134" s="40" t="s">
        <v>20</v>
      </c>
      <c r="F134" s="33">
        <f>SUM(F99:F133)</f>
        <v>0</v>
      </c>
    </row>
    <row r="135" spans="1:6" x14ac:dyDescent="0.45">
      <c r="A135" s="41"/>
      <c r="B135" s="12"/>
      <c r="C135" s="147"/>
      <c r="D135" s="148"/>
      <c r="E135" s="12"/>
      <c r="F135" s="34"/>
    </row>
    <row r="136" spans="1:6" x14ac:dyDescent="0.45">
      <c r="A136" s="91"/>
      <c r="B136" s="92"/>
      <c r="C136" s="149"/>
      <c r="D136" s="150"/>
      <c r="E136" s="92"/>
      <c r="F136" s="31"/>
    </row>
    <row r="137" spans="1:6" x14ac:dyDescent="0.45">
      <c r="A137" s="25"/>
      <c r="B137" s="84"/>
      <c r="C137" s="135"/>
      <c r="D137" s="136"/>
      <c r="E137" s="16"/>
      <c r="F137" s="30"/>
    </row>
    <row r="138" spans="1:6" ht="12.75" customHeight="1" x14ac:dyDescent="0.45">
      <c r="A138" s="25"/>
      <c r="B138" s="22"/>
      <c r="C138" s="135"/>
      <c r="D138" s="136"/>
      <c r="E138" s="16"/>
      <c r="F138" s="30"/>
    </row>
    <row r="139" spans="1:6" x14ac:dyDescent="0.45">
      <c r="A139" s="25"/>
      <c r="B139" s="84"/>
      <c r="C139" s="135"/>
      <c r="D139" s="136"/>
      <c r="E139" s="16"/>
      <c r="F139" s="30"/>
    </row>
    <row r="140" spans="1:6" ht="14.1" customHeight="1" x14ac:dyDescent="0.45">
      <c r="A140" s="25"/>
      <c r="B140" s="64"/>
      <c r="C140" s="135"/>
      <c r="D140" s="136"/>
      <c r="E140" s="16"/>
      <c r="F140" s="30"/>
    </row>
    <row r="141" spans="1:6" x14ac:dyDescent="0.45">
      <c r="A141" s="25"/>
      <c r="B141" s="2"/>
      <c r="C141" s="135"/>
      <c r="D141" s="136"/>
      <c r="E141" s="191"/>
      <c r="F141" s="192"/>
    </row>
    <row r="142" spans="1:6" ht="14.1" customHeight="1" x14ac:dyDescent="0.45">
      <c r="A142" s="25"/>
      <c r="B142" s="64"/>
      <c r="C142" s="135"/>
      <c r="D142" s="136"/>
      <c r="E142" s="16"/>
      <c r="F142" s="30"/>
    </row>
    <row r="143" spans="1:6" x14ac:dyDescent="0.45">
      <c r="A143" s="25"/>
      <c r="B143" s="2"/>
      <c r="C143" s="135"/>
      <c r="D143" s="136"/>
      <c r="E143" s="191"/>
      <c r="F143" s="192"/>
    </row>
    <row r="144" spans="1:6" ht="19.5" customHeight="1" x14ac:dyDescent="0.45">
      <c r="A144" s="25"/>
      <c r="B144" s="27"/>
      <c r="C144" s="135"/>
      <c r="D144" s="136"/>
      <c r="E144" s="191"/>
      <c r="F144" s="192"/>
    </row>
    <row r="145" spans="1:6" x14ac:dyDescent="0.45">
      <c r="A145" s="25"/>
      <c r="B145" s="2"/>
      <c r="C145" s="135"/>
      <c r="D145" s="136"/>
      <c r="E145" s="191"/>
      <c r="F145" s="192"/>
    </row>
    <row r="146" spans="1:6" x14ac:dyDescent="0.45">
      <c r="A146" s="25"/>
      <c r="B146" s="2"/>
      <c r="C146" s="135"/>
      <c r="D146" s="136"/>
      <c r="E146" s="191"/>
      <c r="F146" s="192"/>
    </row>
    <row r="147" spans="1:6" x14ac:dyDescent="0.45">
      <c r="A147" s="25"/>
      <c r="B147" s="2"/>
      <c r="C147" s="151"/>
      <c r="D147" s="152"/>
      <c r="E147" s="201"/>
      <c r="F147" s="202"/>
    </row>
    <row r="148" spans="1:6" x14ac:dyDescent="0.45">
      <c r="A148" s="25"/>
      <c r="B148" s="2"/>
      <c r="C148" s="135"/>
      <c r="D148" s="136"/>
      <c r="E148" s="16"/>
      <c r="F148" s="30"/>
    </row>
    <row r="149" spans="1:6" ht="17.25" customHeight="1" x14ac:dyDescent="0.45">
      <c r="A149" s="25"/>
      <c r="B149" s="84"/>
      <c r="C149" s="135"/>
      <c r="D149" s="136"/>
      <c r="E149" s="16"/>
      <c r="F149" s="30"/>
    </row>
    <row r="150" spans="1:6" x14ac:dyDescent="0.45">
      <c r="A150" s="25"/>
      <c r="B150" s="2"/>
      <c r="C150" s="135"/>
      <c r="D150" s="136"/>
      <c r="E150" s="16"/>
      <c r="F150" s="30"/>
    </row>
    <row r="151" spans="1:6" x14ac:dyDescent="0.45">
      <c r="A151" s="25"/>
      <c r="B151" s="2"/>
      <c r="C151" s="168"/>
      <c r="D151" s="136"/>
      <c r="E151" s="193"/>
      <c r="F151" s="192"/>
    </row>
    <row r="152" spans="1:6" ht="14.1" customHeight="1" x14ac:dyDescent="0.4">
      <c r="A152" s="25"/>
      <c r="B152" s="68"/>
      <c r="C152" s="168"/>
      <c r="D152" s="163"/>
      <c r="E152" s="252"/>
      <c r="F152" s="253"/>
    </row>
    <row r="153" spans="1:6" x14ac:dyDescent="0.45">
      <c r="A153" s="25"/>
      <c r="B153" s="2"/>
      <c r="C153" s="168"/>
      <c r="D153" s="136"/>
      <c r="E153" s="191"/>
      <c r="F153" s="192"/>
    </row>
    <row r="154" spans="1:6" x14ac:dyDescent="0.45">
      <c r="A154" s="25"/>
      <c r="B154" s="68"/>
      <c r="C154" s="168"/>
      <c r="D154" s="136"/>
      <c r="E154" s="254"/>
      <c r="F154" s="253"/>
    </row>
    <row r="155" spans="1:6" ht="48" customHeight="1" x14ac:dyDescent="0.45">
      <c r="A155" s="25"/>
      <c r="B155" s="2"/>
      <c r="C155" s="168"/>
      <c r="D155" s="136"/>
      <c r="E155" s="191"/>
      <c r="F155" s="192"/>
    </row>
    <row r="156" spans="1:6" ht="13.5" customHeight="1" x14ac:dyDescent="0.45">
      <c r="A156" s="25"/>
      <c r="B156" s="68"/>
      <c r="C156" s="168"/>
      <c r="D156" s="136"/>
      <c r="E156" s="17"/>
      <c r="F156" s="30"/>
    </row>
    <row r="157" spans="1:6" x14ac:dyDescent="0.45">
      <c r="A157" s="25"/>
      <c r="B157" s="19"/>
      <c r="C157" s="168"/>
      <c r="D157" s="136"/>
      <c r="E157" s="16"/>
      <c r="F157" s="30"/>
    </row>
    <row r="158" spans="1:6" ht="15.75" customHeight="1" x14ac:dyDescent="0.45">
      <c r="A158" s="25"/>
      <c r="B158" s="2"/>
      <c r="C158" s="135"/>
      <c r="D158" s="136"/>
      <c r="E158" s="16"/>
      <c r="F158" s="174"/>
    </row>
    <row r="159" spans="1:6" x14ac:dyDescent="0.45">
      <c r="A159" s="25"/>
      <c r="B159" s="94"/>
      <c r="C159" s="135"/>
      <c r="D159" s="136"/>
      <c r="E159" s="16"/>
      <c r="F159" s="174"/>
    </row>
    <row r="160" spans="1:6" x14ac:dyDescent="0.45">
      <c r="A160" s="25"/>
      <c r="B160" s="2"/>
      <c r="C160" s="135"/>
      <c r="D160" s="136"/>
      <c r="E160" s="16"/>
      <c r="F160" s="174"/>
    </row>
    <row r="161" spans="1:6" x14ac:dyDescent="0.45">
      <c r="A161" s="25"/>
      <c r="B161" s="2"/>
      <c r="C161" s="135"/>
      <c r="D161" s="136"/>
      <c r="E161" s="16"/>
      <c r="F161" s="30"/>
    </row>
    <row r="162" spans="1:6" x14ac:dyDescent="0.45">
      <c r="A162" s="25"/>
      <c r="B162" s="2"/>
      <c r="C162" s="135"/>
      <c r="D162" s="136"/>
      <c r="E162" s="16"/>
      <c r="F162" s="174"/>
    </row>
    <row r="163" spans="1:6" x14ac:dyDescent="0.45">
      <c r="A163" s="25"/>
      <c r="B163" s="94"/>
      <c r="C163" s="135"/>
      <c r="D163" s="136"/>
      <c r="E163" s="16"/>
      <c r="F163" s="30"/>
    </row>
    <row r="164" spans="1:6" x14ac:dyDescent="0.45">
      <c r="A164" s="25"/>
      <c r="B164" s="68"/>
      <c r="C164" s="171"/>
      <c r="D164" s="136"/>
      <c r="E164" s="16"/>
      <c r="F164" s="192"/>
    </row>
    <row r="165" spans="1:6" ht="14.1" customHeight="1" x14ac:dyDescent="0.45">
      <c r="A165" s="25"/>
      <c r="B165" s="68"/>
      <c r="C165" s="168"/>
      <c r="D165" s="136"/>
      <c r="E165" s="16"/>
      <c r="F165" s="30"/>
    </row>
    <row r="166" spans="1:6" x14ac:dyDescent="0.45">
      <c r="A166" s="25"/>
      <c r="B166" s="68"/>
      <c r="C166" s="168"/>
      <c r="D166" s="136"/>
      <c r="E166" s="16"/>
      <c r="F166" s="30" t="str">
        <f>IF(C166="","",(C166*E166))</f>
        <v/>
      </c>
    </row>
    <row r="167" spans="1:6" ht="12" customHeight="1" x14ac:dyDescent="0.45">
      <c r="A167" s="25"/>
      <c r="B167" s="93"/>
      <c r="C167" s="168"/>
      <c r="D167" s="136"/>
      <c r="E167" s="17"/>
      <c r="F167" s="30"/>
    </row>
    <row r="168" spans="1:6" x14ac:dyDescent="0.45">
      <c r="A168" s="38"/>
      <c r="B168" s="6"/>
      <c r="C168" s="143"/>
      <c r="D168" s="144"/>
      <c r="E168" s="6"/>
      <c r="F168" s="31"/>
    </row>
    <row r="169" spans="1:6" x14ac:dyDescent="0.45">
      <c r="A169" s="39"/>
      <c r="B169" s="9"/>
      <c r="C169" s="145"/>
      <c r="D169" s="146" t="s">
        <v>27</v>
      </c>
      <c r="E169" s="40" t="s">
        <v>20</v>
      </c>
      <c r="F169" s="33">
        <f>SUM(F137:F168)</f>
        <v>0</v>
      </c>
    </row>
    <row r="170" spans="1:6" x14ac:dyDescent="0.45">
      <c r="A170" s="41"/>
      <c r="B170" s="12"/>
      <c r="C170" s="147"/>
      <c r="D170" s="148"/>
      <c r="E170" s="12"/>
      <c r="F170" s="34"/>
    </row>
    <row r="171" spans="1:6" x14ac:dyDescent="0.45">
      <c r="A171" s="91"/>
      <c r="B171" s="92"/>
      <c r="C171" s="149"/>
      <c r="D171" s="150"/>
      <c r="E171" s="92"/>
      <c r="F171" s="31"/>
    </row>
    <row r="172" spans="1:6" x14ac:dyDescent="0.45">
      <c r="A172" s="25"/>
      <c r="B172" s="84"/>
      <c r="C172" s="135"/>
      <c r="D172" s="136"/>
      <c r="E172" s="16"/>
      <c r="F172" s="30"/>
    </row>
    <row r="173" spans="1:6" x14ac:dyDescent="0.45">
      <c r="A173" s="25"/>
      <c r="B173" s="22"/>
      <c r="C173" s="135"/>
      <c r="D173" s="136"/>
      <c r="E173" s="16"/>
      <c r="F173" s="30"/>
    </row>
    <row r="174" spans="1:6" ht="66.599999999999994" customHeight="1" x14ac:dyDescent="0.45">
      <c r="A174" s="73"/>
      <c r="B174" s="19"/>
      <c r="C174" s="151"/>
      <c r="D174" s="136"/>
      <c r="E174" s="16"/>
      <c r="F174" s="30"/>
    </row>
    <row r="175" spans="1:6" x14ac:dyDescent="0.45">
      <c r="A175" s="73"/>
      <c r="B175" s="19"/>
      <c r="C175" s="151"/>
      <c r="D175" s="136"/>
      <c r="E175" s="16"/>
      <c r="F175" s="30"/>
    </row>
    <row r="176" spans="1:6" x14ac:dyDescent="0.45">
      <c r="A176" s="25"/>
      <c r="B176" s="2"/>
      <c r="C176" s="135"/>
      <c r="D176" s="136"/>
      <c r="E176" s="16"/>
      <c r="F176" s="30"/>
    </row>
    <row r="177" spans="1:6" x14ac:dyDescent="0.45">
      <c r="A177" s="25"/>
      <c r="B177" s="2"/>
      <c r="C177" s="135"/>
      <c r="D177" s="136"/>
      <c r="E177" s="16"/>
      <c r="F177" s="30"/>
    </row>
    <row r="178" spans="1:6" x14ac:dyDescent="0.45">
      <c r="A178" s="25"/>
      <c r="B178" s="2"/>
      <c r="C178" s="135"/>
      <c r="D178" s="136"/>
      <c r="E178" s="16"/>
      <c r="F178" s="30"/>
    </row>
    <row r="179" spans="1:6" x14ac:dyDescent="0.45">
      <c r="A179" s="25"/>
      <c r="B179" s="2"/>
      <c r="C179" s="135"/>
      <c r="D179" s="136"/>
      <c r="E179" s="16"/>
      <c r="F179" s="30"/>
    </row>
    <row r="180" spans="1:6" x14ac:dyDescent="0.45">
      <c r="A180" s="25"/>
      <c r="B180" s="2"/>
      <c r="C180" s="135"/>
      <c r="D180" s="136"/>
      <c r="E180" s="16"/>
      <c r="F180" s="30"/>
    </row>
    <row r="181" spans="1:6" x14ac:dyDescent="0.45">
      <c r="A181" s="25"/>
      <c r="B181" s="27"/>
      <c r="C181" s="135"/>
      <c r="D181" s="136"/>
      <c r="E181" s="16"/>
      <c r="F181" s="30"/>
    </row>
    <row r="182" spans="1:6" x14ac:dyDescent="0.45">
      <c r="A182" s="25"/>
      <c r="B182" s="2"/>
      <c r="C182" s="135"/>
      <c r="D182" s="136"/>
      <c r="E182" s="16"/>
      <c r="F182" s="30"/>
    </row>
    <row r="183" spans="1:6" x14ac:dyDescent="0.45">
      <c r="A183" s="25"/>
      <c r="B183" s="84"/>
      <c r="C183" s="135"/>
      <c r="D183" s="136"/>
      <c r="E183" s="16"/>
      <c r="F183" s="30"/>
    </row>
    <row r="184" spans="1:6" x14ac:dyDescent="0.45">
      <c r="A184" s="25"/>
      <c r="B184" s="2"/>
      <c r="C184" s="135"/>
      <c r="D184" s="136"/>
      <c r="E184" s="16"/>
      <c r="F184" s="30"/>
    </row>
    <row r="185" spans="1:6" x14ac:dyDescent="0.45">
      <c r="A185" s="25"/>
      <c r="B185" s="19"/>
      <c r="C185" s="135"/>
      <c r="D185" s="136"/>
      <c r="E185" s="16"/>
      <c r="F185" s="30"/>
    </row>
    <row r="186" spans="1:6" x14ac:dyDescent="0.45">
      <c r="A186" s="25"/>
      <c r="B186" s="2"/>
      <c r="C186" s="135"/>
      <c r="D186" s="136"/>
      <c r="E186" s="16"/>
      <c r="F186" s="30"/>
    </row>
    <row r="187" spans="1:6" x14ac:dyDescent="0.45">
      <c r="A187" s="25"/>
      <c r="B187" s="80"/>
      <c r="C187" s="135"/>
      <c r="D187" s="136"/>
      <c r="E187" s="16"/>
      <c r="F187" s="30"/>
    </row>
    <row r="188" spans="1:6" x14ac:dyDescent="0.45">
      <c r="A188" s="25"/>
      <c r="B188" s="2"/>
      <c r="C188" s="135"/>
      <c r="D188" s="136"/>
      <c r="E188" s="16"/>
      <c r="F188" s="30"/>
    </row>
    <row r="189" spans="1:6" x14ac:dyDescent="0.45">
      <c r="A189" s="25"/>
      <c r="B189" s="80"/>
      <c r="C189" s="135"/>
      <c r="D189" s="136"/>
      <c r="E189" s="16"/>
      <c r="F189" s="30"/>
    </row>
    <row r="190" spans="1:6" x14ac:dyDescent="0.45">
      <c r="A190" s="25"/>
      <c r="B190" s="2"/>
      <c r="C190" s="135"/>
      <c r="D190" s="136"/>
      <c r="E190" s="16"/>
      <c r="F190" s="30"/>
    </row>
    <row r="191" spans="1:6" x14ac:dyDescent="0.45">
      <c r="A191" s="25"/>
      <c r="B191" s="2"/>
      <c r="C191" s="135"/>
      <c r="D191" s="136"/>
      <c r="E191" s="16"/>
      <c r="F191" s="30"/>
    </row>
    <row r="192" spans="1:6" x14ac:dyDescent="0.45">
      <c r="A192" s="25"/>
      <c r="B192" s="2"/>
      <c r="C192" s="135"/>
      <c r="D192" s="136"/>
      <c r="E192" s="16"/>
      <c r="F192" s="30"/>
    </row>
    <row r="193" spans="1:6" x14ac:dyDescent="0.45">
      <c r="A193" s="25"/>
      <c r="B193" s="2"/>
      <c r="C193" s="135"/>
      <c r="D193" s="136"/>
      <c r="E193" s="16"/>
      <c r="F193" s="30"/>
    </row>
    <row r="194" spans="1:6" x14ac:dyDescent="0.45">
      <c r="A194" s="25"/>
      <c r="B194" s="2"/>
      <c r="C194" s="135"/>
      <c r="D194" s="136"/>
      <c r="E194" s="16"/>
      <c r="F194" s="30"/>
    </row>
    <row r="195" spans="1:6" x14ac:dyDescent="0.45">
      <c r="A195" s="25"/>
      <c r="B195" s="2"/>
      <c r="C195" s="135"/>
      <c r="D195" s="136"/>
      <c r="E195" s="16"/>
      <c r="F195" s="30"/>
    </row>
    <row r="196" spans="1:6" x14ac:dyDescent="0.45">
      <c r="A196" s="25"/>
      <c r="B196" s="2"/>
      <c r="C196" s="135"/>
      <c r="D196" s="136"/>
      <c r="E196" s="16"/>
      <c r="F196" s="30"/>
    </row>
    <row r="197" spans="1:6" x14ac:dyDescent="0.45">
      <c r="A197" s="25"/>
      <c r="B197" s="2"/>
      <c r="C197" s="135"/>
      <c r="D197" s="136"/>
      <c r="E197" s="16"/>
      <c r="F197" s="30"/>
    </row>
    <row r="198" spans="1:6" x14ac:dyDescent="0.45">
      <c r="A198" s="25"/>
      <c r="B198" s="19"/>
      <c r="C198" s="135"/>
      <c r="D198" s="136"/>
      <c r="E198" s="16"/>
      <c r="F198" s="30"/>
    </row>
    <row r="199" spans="1:6" x14ac:dyDescent="0.45">
      <c r="A199" s="25"/>
      <c r="B199" s="2"/>
      <c r="C199" s="135"/>
      <c r="D199" s="136"/>
      <c r="E199" s="16"/>
      <c r="F199" s="30"/>
    </row>
    <row r="200" spans="1:6" x14ac:dyDescent="0.45">
      <c r="A200" s="25"/>
      <c r="B200" s="2"/>
      <c r="C200" s="135"/>
      <c r="D200" s="136"/>
      <c r="E200" s="16"/>
      <c r="F200" s="192"/>
    </row>
    <row r="201" spans="1:6" x14ac:dyDescent="0.45">
      <c r="A201" s="78"/>
      <c r="B201" s="79"/>
      <c r="C201" s="172"/>
      <c r="D201" s="164"/>
      <c r="E201" s="16"/>
      <c r="F201" s="30"/>
    </row>
    <row r="202" spans="1:6" x14ac:dyDescent="0.45">
      <c r="A202" s="25"/>
      <c r="B202" s="27"/>
      <c r="C202" s="135"/>
      <c r="D202" s="136"/>
      <c r="E202" s="16"/>
      <c r="F202" s="30"/>
    </row>
    <row r="203" spans="1:6" ht="15.75" customHeight="1" x14ac:dyDescent="0.45">
      <c r="A203" s="25"/>
      <c r="B203" s="27"/>
      <c r="C203" s="135"/>
      <c r="D203" s="136"/>
      <c r="E203" s="16"/>
      <c r="F203" s="30"/>
    </row>
    <row r="204" spans="1:6" x14ac:dyDescent="0.45">
      <c r="A204" s="25"/>
      <c r="B204" s="2"/>
      <c r="C204" s="135"/>
      <c r="D204" s="136"/>
      <c r="E204" s="16"/>
      <c r="F204" s="30"/>
    </row>
    <row r="205" spans="1:6" x14ac:dyDescent="0.45">
      <c r="A205" s="25"/>
      <c r="B205" s="27"/>
      <c r="C205" s="135"/>
      <c r="D205" s="136"/>
      <c r="E205" s="16"/>
      <c r="F205" s="30"/>
    </row>
    <row r="206" spans="1:6" x14ac:dyDescent="0.45">
      <c r="A206" s="25"/>
      <c r="B206" s="27"/>
      <c r="C206" s="135"/>
      <c r="D206" s="136"/>
      <c r="E206" s="16"/>
      <c r="F206" s="30"/>
    </row>
    <row r="207" spans="1:6" x14ac:dyDescent="0.45">
      <c r="A207" s="25"/>
      <c r="B207" s="80"/>
      <c r="C207" s="135"/>
      <c r="D207" s="136"/>
      <c r="E207" s="16"/>
      <c r="F207" s="30"/>
    </row>
    <row r="208" spans="1:6" x14ac:dyDescent="0.45">
      <c r="A208" s="25"/>
      <c r="B208" s="2"/>
      <c r="C208" s="135"/>
      <c r="D208" s="136"/>
      <c r="E208" s="16"/>
      <c r="F208" s="30"/>
    </row>
    <row r="209" spans="1:6" x14ac:dyDescent="0.45">
      <c r="A209" s="25"/>
      <c r="B209" s="80"/>
      <c r="C209" s="135"/>
      <c r="D209" s="136"/>
      <c r="E209" s="16"/>
      <c r="F209" s="30"/>
    </row>
    <row r="210" spans="1:6" ht="19.5" customHeight="1" x14ac:dyDescent="0.45">
      <c r="A210" s="38"/>
      <c r="B210" s="6"/>
      <c r="C210" s="143"/>
      <c r="D210" s="144"/>
      <c r="E210" s="6"/>
      <c r="F210" s="31"/>
    </row>
    <row r="211" spans="1:6" ht="19.5" customHeight="1" x14ac:dyDescent="0.45">
      <c r="A211" s="39"/>
      <c r="B211" s="9"/>
      <c r="C211" s="145"/>
      <c r="D211" s="146" t="s">
        <v>27</v>
      </c>
      <c r="E211" s="40" t="s">
        <v>20</v>
      </c>
      <c r="F211" s="33">
        <f>SUM(F171:F209)</f>
        <v>0</v>
      </c>
    </row>
    <row r="212" spans="1:6" ht="19.5" customHeight="1" x14ac:dyDescent="0.45">
      <c r="A212" s="41"/>
      <c r="B212" s="12"/>
      <c r="C212" s="147"/>
      <c r="D212" s="148"/>
      <c r="E212" s="12"/>
      <c r="F212" s="34"/>
    </row>
    <row r="213" spans="1:6" ht="19.5" customHeight="1" x14ac:dyDescent="0.45">
      <c r="A213" s="25"/>
      <c r="B213" s="2"/>
      <c r="C213" s="135"/>
      <c r="D213" s="136"/>
      <c r="E213" s="16"/>
      <c r="F213" s="30"/>
    </row>
    <row r="214" spans="1:6" x14ac:dyDescent="0.45">
      <c r="A214" s="25"/>
      <c r="B214" s="84"/>
      <c r="C214" s="135"/>
      <c r="D214" s="136"/>
      <c r="E214" s="16"/>
      <c r="F214" s="30"/>
    </row>
    <row r="215" spans="1:6" x14ac:dyDescent="0.45">
      <c r="A215" s="25"/>
      <c r="B215" s="122"/>
      <c r="C215" s="135"/>
      <c r="D215" s="136"/>
      <c r="E215" s="16"/>
      <c r="F215" s="30"/>
    </row>
    <row r="216" spans="1:6" ht="33.75" customHeight="1" x14ac:dyDescent="0.45">
      <c r="A216" s="25"/>
      <c r="B216" s="19"/>
      <c r="C216" s="151"/>
      <c r="D216" s="136"/>
      <c r="E216" s="16"/>
      <c r="F216" s="30"/>
    </row>
    <row r="217" spans="1:6" ht="14.25" customHeight="1" x14ac:dyDescent="0.45">
      <c r="A217" s="25"/>
      <c r="B217" s="19"/>
      <c r="C217" s="151"/>
      <c r="D217" s="136"/>
      <c r="E217" s="16"/>
      <c r="F217" s="30"/>
    </row>
    <row r="218" spans="1:6" ht="17.25" customHeight="1" x14ac:dyDescent="0.45">
      <c r="A218" s="25"/>
      <c r="B218" s="2"/>
      <c r="C218" s="135"/>
      <c r="D218" s="136"/>
      <c r="E218" s="16"/>
      <c r="F218" s="30"/>
    </row>
    <row r="219" spans="1:6" x14ac:dyDescent="0.45">
      <c r="A219" s="25"/>
      <c r="B219" s="2"/>
      <c r="C219" s="135"/>
      <c r="D219" s="136"/>
      <c r="E219" s="16"/>
      <c r="F219" s="30"/>
    </row>
    <row r="220" spans="1:6" x14ac:dyDescent="0.45">
      <c r="A220" s="25"/>
      <c r="B220" s="84"/>
      <c r="C220" s="135"/>
      <c r="D220" s="136"/>
      <c r="E220" s="16"/>
      <c r="F220" s="30"/>
    </row>
    <row r="221" spans="1:6" x14ac:dyDescent="0.45">
      <c r="A221" s="25"/>
      <c r="B221" s="2"/>
      <c r="C221" s="135"/>
      <c r="D221" s="136"/>
      <c r="E221" s="16"/>
      <c r="F221" s="30"/>
    </row>
    <row r="222" spans="1:6" x14ac:dyDescent="0.45">
      <c r="A222" s="25"/>
      <c r="B222" s="2"/>
      <c r="C222" s="151"/>
      <c r="D222" s="152"/>
      <c r="E222" s="201"/>
      <c r="F222" s="202"/>
    </row>
    <row r="223" spans="1:6" x14ac:dyDescent="0.45">
      <c r="A223" s="25"/>
      <c r="B223" s="2"/>
      <c r="C223" s="135"/>
      <c r="D223" s="136"/>
      <c r="E223" s="16"/>
      <c r="F223" s="30"/>
    </row>
    <row r="224" spans="1:6" x14ac:dyDescent="0.45">
      <c r="A224" s="25"/>
      <c r="B224" s="2"/>
      <c r="C224" s="151"/>
      <c r="D224" s="152"/>
      <c r="E224" s="201"/>
      <c r="F224" s="202"/>
    </row>
    <row r="225" spans="1:6" x14ac:dyDescent="0.45">
      <c r="A225" s="25"/>
      <c r="B225" s="2"/>
      <c r="C225" s="135"/>
      <c r="D225" s="136"/>
      <c r="E225" s="16"/>
      <c r="F225" s="30"/>
    </row>
    <row r="226" spans="1:6" x14ac:dyDescent="0.45">
      <c r="A226" s="25"/>
      <c r="B226" s="84"/>
      <c r="C226" s="135"/>
      <c r="D226" s="136"/>
      <c r="E226" s="16"/>
      <c r="F226" s="30"/>
    </row>
    <row r="227" spans="1:6" x14ac:dyDescent="0.45">
      <c r="A227" s="82"/>
      <c r="B227" s="122"/>
      <c r="C227" s="173"/>
      <c r="D227" s="166"/>
      <c r="E227" s="81"/>
      <c r="F227" s="33"/>
    </row>
    <row r="228" spans="1:6" x14ac:dyDescent="0.45">
      <c r="A228" s="82"/>
      <c r="B228" s="2"/>
      <c r="C228" s="151"/>
      <c r="D228" s="152"/>
      <c r="E228" s="76"/>
      <c r="F228" s="75"/>
    </row>
    <row r="229" spans="1:6" x14ac:dyDescent="0.45">
      <c r="A229" s="82"/>
      <c r="B229" s="84"/>
      <c r="C229" s="257"/>
      <c r="D229" s="255"/>
      <c r="E229" s="81"/>
      <c r="F229" s="33"/>
    </row>
    <row r="230" spans="1:6" x14ac:dyDescent="0.45">
      <c r="A230" s="82"/>
      <c r="B230" s="2"/>
      <c r="C230" s="151"/>
      <c r="D230" s="152"/>
      <c r="E230" s="76"/>
      <c r="F230" s="75"/>
    </row>
    <row r="231" spans="1:6" x14ac:dyDescent="0.45">
      <c r="A231" s="82"/>
      <c r="B231" s="122"/>
      <c r="C231" s="257"/>
      <c r="D231" s="152"/>
      <c r="E231" s="81"/>
      <c r="F231" s="33"/>
    </row>
    <row r="232" spans="1:6" x14ac:dyDescent="0.45">
      <c r="A232" s="82"/>
      <c r="B232" s="2"/>
      <c r="C232" s="151"/>
      <c r="D232" s="152"/>
      <c r="E232" s="76"/>
      <c r="F232" s="75"/>
    </row>
    <row r="233" spans="1:6" x14ac:dyDescent="0.45">
      <c r="A233" s="82"/>
      <c r="B233" s="122"/>
      <c r="C233" s="257"/>
      <c r="D233" s="152"/>
      <c r="E233" s="81"/>
      <c r="F233" s="33"/>
    </row>
    <row r="234" spans="1:6" x14ac:dyDescent="0.45">
      <c r="A234" s="82"/>
      <c r="B234" s="2"/>
      <c r="C234" s="151"/>
      <c r="D234" s="152"/>
      <c r="E234" s="201"/>
      <c r="F234" s="202"/>
    </row>
    <row r="235" spans="1:6" x14ac:dyDescent="0.45">
      <c r="A235" s="82"/>
      <c r="B235" s="19"/>
      <c r="C235" s="151"/>
      <c r="D235" s="152"/>
      <c r="E235" s="16"/>
      <c r="F235" s="30"/>
    </row>
    <row r="236" spans="1:6" x14ac:dyDescent="0.45">
      <c r="A236" s="82"/>
      <c r="B236" s="2"/>
      <c r="C236" s="151"/>
      <c r="D236" s="152"/>
      <c r="E236" s="201"/>
      <c r="F236" s="202"/>
    </row>
    <row r="237" spans="1:6" x14ac:dyDescent="0.45">
      <c r="A237" s="82"/>
      <c r="B237" s="19"/>
      <c r="C237" s="151"/>
      <c r="D237" s="152"/>
      <c r="E237" s="16"/>
      <c r="F237" s="30"/>
    </row>
    <row r="238" spans="1:6" ht="33.6" customHeight="1" x14ac:dyDescent="0.45">
      <c r="A238" s="82"/>
      <c r="B238" s="2"/>
      <c r="C238" s="151"/>
      <c r="D238" s="152"/>
      <c r="E238" s="201"/>
      <c r="F238" s="202"/>
    </row>
    <row r="239" spans="1:6" x14ac:dyDescent="0.45">
      <c r="A239" s="82"/>
      <c r="B239" s="80"/>
      <c r="C239" s="151"/>
      <c r="D239" s="136"/>
      <c r="E239" s="16"/>
      <c r="F239" s="30"/>
    </row>
    <row r="240" spans="1:6" x14ac:dyDescent="0.45">
      <c r="A240" s="82"/>
      <c r="B240" s="2"/>
      <c r="C240" s="151"/>
      <c r="D240" s="152"/>
      <c r="E240" s="201"/>
      <c r="F240" s="202"/>
    </row>
    <row r="241" spans="1:6" x14ac:dyDescent="0.45">
      <c r="A241" s="82"/>
      <c r="B241" s="80"/>
      <c r="C241" s="135"/>
      <c r="D241" s="136"/>
      <c r="E241" s="16"/>
      <c r="F241" s="30"/>
    </row>
    <row r="242" spans="1:6" x14ac:dyDescent="0.45">
      <c r="A242" s="38"/>
      <c r="B242" s="6"/>
      <c r="C242" s="143"/>
      <c r="D242" s="144"/>
      <c r="E242" s="6"/>
      <c r="F242" s="31"/>
    </row>
    <row r="243" spans="1:6" x14ac:dyDescent="0.45">
      <c r="A243" s="39"/>
      <c r="B243" s="9"/>
      <c r="C243" s="145"/>
      <c r="D243" s="146" t="s">
        <v>27</v>
      </c>
      <c r="E243" s="40" t="s">
        <v>20</v>
      </c>
      <c r="F243" s="33">
        <f>SUM(F213:F241)</f>
        <v>0</v>
      </c>
    </row>
    <row r="244" spans="1:6" x14ac:dyDescent="0.45">
      <c r="A244" s="41"/>
      <c r="B244" s="12"/>
      <c r="C244" s="147"/>
      <c r="D244" s="148"/>
      <c r="E244" s="12"/>
      <c r="F244" s="34"/>
    </row>
    <row r="245" spans="1:6" x14ac:dyDescent="0.45">
      <c r="A245" s="2"/>
      <c r="B245" s="2"/>
      <c r="C245" s="135"/>
      <c r="D245" s="136"/>
      <c r="E245" s="17"/>
      <c r="F245" s="30"/>
    </row>
    <row r="246" spans="1:6" x14ac:dyDescent="0.45">
      <c r="A246" s="2"/>
      <c r="B246" s="22"/>
      <c r="C246" s="135"/>
      <c r="D246" s="136"/>
      <c r="E246" s="17"/>
      <c r="F246" s="30"/>
    </row>
    <row r="247" spans="1:6" x14ac:dyDescent="0.45">
      <c r="A247" s="2"/>
      <c r="B247" s="20"/>
      <c r="C247" s="135"/>
      <c r="D247" s="136"/>
      <c r="E247" s="17"/>
      <c r="F247" s="30"/>
    </row>
    <row r="248" spans="1:6" x14ac:dyDescent="0.45">
      <c r="A248" s="2"/>
      <c r="B248" s="20"/>
      <c r="C248" s="135"/>
      <c r="D248" s="136"/>
      <c r="E248" s="17"/>
      <c r="F248" s="30"/>
    </row>
    <row r="249" spans="1:6" x14ac:dyDescent="0.45">
      <c r="A249" s="2"/>
      <c r="B249" s="20"/>
      <c r="C249" s="135"/>
      <c r="D249" s="136"/>
      <c r="E249" s="17"/>
      <c r="F249" s="30"/>
    </row>
    <row r="250" spans="1:6" x14ac:dyDescent="0.45">
      <c r="A250" s="2"/>
      <c r="B250" s="20"/>
      <c r="C250" s="135"/>
      <c r="D250" s="136"/>
      <c r="E250" s="17"/>
      <c r="F250" s="30"/>
    </row>
    <row r="251" spans="1:6" x14ac:dyDescent="0.45">
      <c r="A251" s="2"/>
      <c r="B251" s="20"/>
      <c r="C251" s="135"/>
      <c r="D251" s="136"/>
      <c r="E251" s="17"/>
      <c r="F251" s="30"/>
    </row>
    <row r="252" spans="1:6" x14ac:dyDescent="0.45">
      <c r="A252" s="2"/>
      <c r="B252" s="20"/>
      <c r="C252" s="135"/>
      <c r="D252" s="136"/>
      <c r="E252" s="17"/>
      <c r="F252" s="30"/>
    </row>
    <row r="253" spans="1:6" x14ac:dyDescent="0.45">
      <c r="A253" s="2"/>
      <c r="B253" s="20"/>
      <c r="C253" s="135"/>
      <c r="D253" s="136"/>
      <c r="E253" s="17"/>
      <c r="F253" s="30"/>
    </row>
    <row r="254" spans="1:6" x14ac:dyDescent="0.45">
      <c r="A254" s="2"/>
      <c r="B254" s="20"/>
      <c r="C254" s="135"/>
      <c r="D254" s="136"/>
      <c r="E254" s="17"/>
      <c r="F254" s="30"/>
    </row>
    <row r="255" spans="1:6" x14ac:dyDescent="0.45">
      <c r="A255" s="2"/>
      <c r="B255" s="20"/>
      <c r="C255" s="135"/>
      <c r="D255" s="136"/>
      <c r="E255" s="17"/>
      <c r="F255" s="30"/>
    </row>
    <row r="256" spans="1:6" x14ac:dyDescent="0.45">
      <c r="A256" s="2"/>
      <c r="B256" s="20"/>
      <c r="C256" s="135"/>
      <c r="D256" s="136"/>
      <c r="E256" s="17"/>
      <c r="F256" s="30"/>
    </row>
    <row r="257" spans="1:6" x14ac:dyDescent="0.45">
      <c r="A257" s="2"/>
      <c r="B257" s="20"/>
      <c r="C257" s="135"/>
      <c r="D257" s="136"/>
      <c r="E257" s="17"/>
      <c r="F257" s="30"/>
    </row>
    <row r="258" spans="1:6" x14ac:dyDescent="0.45">
      <c r="A258" s="2"/>
      <c r="B258" s="20"/>
      <c r="C258" s="135"/>
      <c r="D258" s="136"/>
      <c r="E258" s="17"/>
      <c r="F258" s="30"/>
    </row>
    <row r="259" spans="1:6" x14ac:dyDescent="0.45">
      <c r="A259" s="2"/>
      <c r="B259" s="20"/>
      <c r="C259" s="135"/>
      <c r="D259" s="136"/>
      <c r="E259" s="17"/>
      <c r="F259" s="30"/>
    </row>
    <row r="260" spans="1:6" x14ac:dyDescent="0.45">
      <c r="A260" s="2"/>
      <c r="B260" s="20"/>
      <c r="C260" s="135"/>
      <c r="D260" s="136"/>
      <c r="E260" s="17"/>
      <c r="F260" s="30"/>
    </row>
    <row r="261" spans="1:6" x14ac:dyDescent="0.45">
      <c r="A261" s="2"/>
      <c r="B261" s="20"/>
      <c r="C261" s="135"/>
      <c r="D261" s="136"/>
      <c r="E261" s="17"/>
      <c r="F261" s="30"/>
    </row>
    <row r="262" spans="1:6" x14ac:dyDescent="0.45">
      <c r="A262" s="2"/>
      <c r="B262" s="20"/>
      <c r="C262" s="135"/>
      <c r="D262" s="136"/>
      <c r="E262" s="17"/>
      <c r="F262" s="30"/>
    </row>
    <row r="263" spans="1:6" x14ac:dyDescent="0.45">
      <c r="A263" s="2"/>
      <c r="B263" s="20"/>
      <c r="C263" s="135"/>
      <c r="D263" s="136"/>
      <c r="E263" s="17"/>
      <c r="F263" s="30"/>
    </row>
    <row r="264" spans="1:6" x14ac:dyDescent="0.45">
      <c r="A264" s="2"/>
      <c r="B264" s="20"/>
      <c r="C264" s="135"/>
      <c r="D264" s="136"/>
      <c r="E264" s="17"/>
      <c r="F264" s="30"/>
    </row>
    <row r="265" spans="1:6" x14ac:dyDescent="0.45">
      <c r="A265" s="2"/>
      <c r="B265" s="20"/>
      <c r="C265" s="135"/>
      <c r="D265" s="136"/>
      <c r="E265" s="17"/>
      <c r="F265" s="30"/>
    </row>
    <row r="266" spans="1:6" x14ac:dyDescent="0.45">
      <c r="A266" s="2"/>
      <c r="B266" s="20"/>
      <c r="C266" s="135"/>
      <c r="D266" s="136"/>
      <c r="E266" s="17"/>
      <c r="F266" s="30"/>
    </row>
    <row r="267" spans="1:6" x14ac:dyDescent="0.45">
      <c r="A267" s="2"/>
      <c r="B267" s="20"/>
      <c r="C267" s="135"/>
      <c r="D267" s="136"/>
      <c r="E267" s="17"/>
      <c r="F267" s="30"/>
    </row>
    <row r="268" spans="1:6" x14ac:dyDescent="0.45">
      <c r="A268" s="2"/>
      <c r="B268" s="20"/>
      <c r="C268" s="135"/>
      <c r="D268" s="136"/>
      <c r="E268" s="17"/>
      <c r="F268" s="30"/>
    </row>
    <row r="269" spans="1:6" x14ac:dyDescent="0.45">
      <c r="A269" s="2"/>
      <c r="B269" s="20"/>
      <c r="C269" s="135"/>
      <c r="D269" s="136"/>
      <c r="E269" s="17"/>
      <c r="F269" s="30"/>
    </row>
    <row r="270" spans="1:6" x14ac:dyDescent="0.45">
      <c r="A270" s="2"/>
      <c r="B270" s="20"/>
      <c r="C270" s="135"/>
      <c r="D270" s="136"/>
      <c r="E270" s="17"/>
      <c r="F270" s="30"/>
    </row>
    <row r="271" spans="1:6" x14ac:dyDescent="0.45">
      <c r="A271" s="2"/>
      <c r="B271" s="20"/>
      <c r="C271" s="135"/>
      <c r="D271" s="136"/>
      <c r="E271" s="17"/>
      <c r="F271" s="30"/>
    </row>
    <row r="272" spans="1:6" x14ac:dyDescent="0.45">
      <c r="A272" s="2"/>
      <c r="B272" s="20"/>
      <c r="C272" s="135"/>
      <c r="D272" s="136"/>
      <c r="E272" s="17"/>
      <c r="F272" s="30"/>
    </row>
    <row r="273" spans="1:6" x14ac:dyDescent="0.45">
      <c r="A273" s="4"/>
      <c r="B273" s="6"/>
      <c r="C273" s="143"/>
      <c r="D273" s="144"/>
      <c r="E273" s="6"/>
      <c r="F273" s="31"/>
    </row>
    <row r="274" spans="1:6" x14ac:dyDescent="0.45">
      <c r="A274" s="7"/>
      <c r="B274" s="9"/>
      <c r="C274" s="145" t="s">
        <v>21</v>
      </c>
      <c r="D274" s="154"/>
      <c r="E274" s="9"/>
      <c r="F274" s="33">
        <f>SUM(F245:F272)</f>
        <v>0</v>
      </c>
    </row>
    <row r="275" spans="1:6" x14ac:dyDescent="0.45">
      <c r="A275" s="10"/>
      <c r="B275" s="12"/>
      <c r="C275" s="147"/>
      <c r="D275" s="148"/>
      <c r="E275" s="12"/>
      <c r="F275" s="34"/>
    </row>
  </sheetData>
  <phoneticPr fontId="6" type="noConversion"/>
  <pageMargins left="0.55118110236220474" right="0.19685039370078741" top="0.35433070866141736" bottom="0.55118110236220474" header="0.19685039370078741" footer="0.39370078740157483"/>
  <pageSetup paperSize="9" scale="62" fitToHeight="0" orientation="portrait" r:id="rId1"/>
  <headerFooter alignWithMargins="0">
    <oddFooter>&amp;C&amp;"Times New Roman,Regular"Page 10/&amp;P</oddFooter>
  </headerFooter>
  <rowBreaks count="6" manualBreakCount="6">
    <brk id="58" max="6" man="1"/>
    <brk id="98" max="7" man="1"/>
    <brk id="135" max="7" man="1"/>
    <brk id="170" max="7" man="1"/>
    <brk id="212" max="7" man="1"/>
    <brk id="244" max="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7457-75DA-4231-BA42-BD9260FF0670}">
  <dimension ref="A1:L131"/>
  <sheetViews>
    <sheetView view="pageBreakPreview" zoomScaleNormal="100" zoomScaleSheetLayoutView="100" workbookViewId="0">
      <selection activeCell="E64" sqref="E64"/>
    </sheetView>
  </sheetViews>
  <sheetFormatPr defaultColWidth="9.1328125" defaultRowHeight="15.4" x14ac:dyDescent="0.35"/>
  <cols>
    <col min="1" max="1" width="4.796875" style="100" customWidth="1"/>
    <col min="2" max="2" width="50.796875" style="100" customWidth="1"/>
    <col min="3" max="3" width="9.796875" style="100" customWidth="1"/>
    <col min="4" max="4" width="6.796875" style="120" customWidth="1"/>
    <col min="5" max="5" width="14.796875" style="100" customWidth="1"/>
    <col min="6" max="6" width="16.796875" style="121" customWidth="1"/>
    <col min="7" max="7" width="36.46484375" style="100" customWidth="1"/>
    <col min="8" max="11" width="9.1328125" style="100"/>
    <col min="12" max="12" width="9.796875" style="100" bestFit="1" customWidth="1"/>
    <col min="13" max="16384" width="9.1328125" style="100"/>
  </cols>
  <sheetData>
    <row r="1" spans="1:7" x14ac:dyDescent="0.35">
      <c r="A1" s="96"/>
      <c r="B1" s="97"/>
      <c r="C1" s="96"/>
      <c r="D1" s="98" t="s">
        <v>32</v>
      </c>
      <c r="E1" s="97"/>
      <c r="F1" s="99"/>
    </row>
    <row r="2" spans="1:7" x14ac:dyDescent="0.35">
      <c r="A2" s="101" t="str">
        <f>'02 Plot Groundworks'!A2</f>
        <v>The Former Police Station, Haslingden</v>
      </c>
      <c r="B2" s="102"/>
      <c r="C2" s="101"/>
      <c r="D2" s="103" t="s">
        <v>409</v>
      </c>
      <c r="E2" s="102"/>
      <c r="F2" s="104" t="s">
        <v>520</v>
      </c>
    </row>
    <row r="3" spans="1:7" x14ac:dyDescent="0.35">
      <c r="A3" s="105"/>
      <c r="B3" s="106"/>
      <c r="C3" s="105"/>
      <c r="D3" s="107" t="s">
        <v>32</v>
      </c>
      <c r="E3" s="106"/>
      <c r="F3" s="108"/>
    </row>
    <row r="4" spans="1:7" x14ac:dyDescent="0.35">
      <c r="A4" s="109"/>
      <c r="B4" s="110" t="s">
        <v>22</v>
      </c>
      <c r="C4" s="110" t="s">
        <v>26</v>
      </c>
      <c r="D4" s="110" t="s">
        <v>23</v>
      </c>
      <c r="E4" s="110" t="s">
        <v>24</v>
      </c>
      <c r="F4" s="111" t="s">
        <v>25</v>
      </c>
      <c r="G4" s="178" t="s">
        <v>118</v>
      </c>
    </row>
    <row r="5" spans="1:7" x14ac:dyDescent="0.35">
      <c r="A5" s="112"/>
      <c r="B5" s="113"/>
      <c r="C5" s="113"/>
      <c r="D5" s="113"/>
      <c r="E5" s="113"/>
      <c r="F5" s="114"/>
    </row>
    <row r="6" spans="1:7" x14ac:dyDescent="0.35">
      <c r="A6" s="112"/>
      <c r="B6" s="331" t="s">
        <v>122</v>
      </c>
      <c r="C6" s="112"/>
      <c r="D6" s="112"/>
      <c r="E6" s="113"/>
      <c r="F6" s="114"/>
    </row>
    <row r="7" spans="1:7" x14ac:dyDescent="0.35">
      <c r="A7" s="112"/>
      <c r="B7" s="112"/>
      <c r="C7" s="112"/>
      <c r="D7" s="112"/>
      <c r="E7" s="113"/>
      <c r="F7" s="114"/>
    </row>
    <row r="8" spans="1:7" x14ac:dyDescent="0.45">
      <c r="A8" s="119" t="s">
        <v>9</v>
      </c>
      <c r="B8" s="2" t="s">
        <v>410</v>
      </c>
      <c r="C8" s="18">
        <v>77</v>
      </c>
      <c r="D8" s="276" t="s">
        <v>30</v>
      </c>
      <c r="E8" s="277">
        <v>9</v>
      </c>
      <c r="F8" s="117">
        <f t="shared" ref="F8:F11" si="0">IF(C8="","",(C8*E8))</f>
        <v>693</v>
      </c>
    </row>
    <row r="9" spans="1:7" x14ac:dyDescent="0.35">
      <c r="A9" s="119"/>
      <c r="B9" s="115"/>
      <c r="C9" s="89"/>
      <c r="D9" s="112"/>
      <c r="E9" s="116"/>
      <c r="F9" s="117" t="str">
        <f t="shared" si="0"/>
        <v/>
      </c>
    </row>
    <row r="10" spans="1:7" ht="30.75" x14ac:dyDescent="0.45">
      <c r="A10" s="119" t="s">
        <v>10</v>
      </c>
      <c r="B10" s="2" t="s">
        <v>411</v>
      </c>
      <c r="C10" s="135">
        <f>326*1.1</f>
        <v>358.6</v>
      </c>
      <c r="D10" s="276" t="s">
        <v>42</v>
      </c>
      <c r="E10" s="277">
        <v>41</v>
      </c>
      <c r="F10" s="275">
        <f t="shared" si="0"/>
        <v>14702.6</v>
      </c>
    </row>
    <row r="11" spans="1:7" x14ac:dyDescent="0.35">
      <c r="A11" s="119"/>
      <c r="B11" s="115"/>
      <c r="C11" s="89"/>
      <c r="D11" s="112"/>
      <c r="E11" s="116"/>
      <c r="F11" s="117" t="str">
        <f t="shared" si="0"/>
        <v/>
      </c>
    </row>
    <row r="12" spans="1:7" x14ac:dyDescent="0.35">
      <c r="A12" s="119" t="s">
        <v>11</v>
      </c>
      <c r="B12" s="115" t="s">
        <v>412</v>
      </c>
      <c r="C12" s="88">
        <v>448</v>
      </c>
      <c r="D12" s="112" t="s">
        <v>42</v>
      </c>
      <c r="E12" s="116">
        <v>38</v>
      </c>
      <c r="F12" s="117">
        <f>IF(C12="","",(C12*E12))</f>
        <v>17024</v>
      </c>
    </row>
    <row r="13" spans="1:7" x14ac:dyDescent="0.35">
      <c r="A13" s="119"/>
      <c r="B13" s="115"/>
      <c r="C13" s="88"/>
      <c r="D13" s="112"/>
      <c r="E13" s="116"/>
      <c r="F13" s="117"/>
    </row>
    <row r="14" spans="1:7" x14ac:dyDescent="0.35">
      <c r="A14" s="119" t="s">
        <v>12</v>
      </c>
      <c r="B14" s="115" t="s">
        <v>413</v>
      </c>
      <c r="C14" s="88">
        <v>448</v>
      </c>
      <c r="D14" s="112" t="s">
        <v>42</v>
      </c>
      <c r="E14" s="116">
        <v>19</v>
      </c>
      <c r="F14" s="117">
        <f>IF(C14="","",(C14*E14))</f>
        <v>8512</v>
      </c>
    </row>
    <row r="15" spans="1:7" x14ac:dyDescent="0.35">
      <c r="A15" s="119"/>
      <c r="B15" s="115"/>
      <c r="C15" s="88"/>
      <c r="D15" s="112"/>
      <c r="E15" s="116"/>
      <c r="F15" s="117" t="str">
        <f t="shared" ref="F15:F16" si="1">IF(C15="","",(C15*E15))</f>
        <v/>
      </c>
    </row>
    <row r="16" spans="1:7" x14ac:dyDescent="0.35">
      <c r="A16" s="119" t="s">
        <v>13</v>
      </c>
      <c r="B16" s="115" t="s">
        <v>431</v>
      </c>
      <c r="C16" s="88">
        <f>((15*2.5)*6)*1.1</f>
        <v>247.50000000000003</v>
      </c>
      <c r="D16" s="112" t="s">
        <v>42</v>
      </c>
      <c r="E16" s="116">
        <v>19</v>
      </c>
      <c r="F16" s="117">
        <f t="shared" si="1"/>
        <v>4702.5000000000009</v>
      </c>
    </row>
    <row r="17" spans="1:12" x14ac:dyDescent="0.35">
      <c r="A17" s="119"/>
      <c r="B17" s="115"/>
      <c r="C17" s="88"/>
      <c r="D17" s="112"/>
      <c r="E17" s="116"/>
      <c r="F17" s="117"/>
    </row>
    <row r="18" spans="1:12" ht="30.75" x14ac:dyDescent="0.35">
      <c r="A18" s="119" t="s">
        <v>14</v>
      </c>
      <c r="B18" s="115" t="s">
        <v>414</v>
      </c>
      <c r="C18" s="88">
        <v>838</v>
      </c>
      <c r="D18" s="112" t="s">
        <v>42</v>
      </c>
      <c r="E18" s="116">
        <v>20</v>
      </c>
      <c r="F18" s="117">
        <f>IF(C18="","",(C18*E18))</f>
        <v>16760</v>
      </c>
    </row>
    <row r="19" spans="1:12" x14ac:dyDescent="0.35">
      <c r="A19" s="112"/>
      <c r="B19" s="115"/>
      <c r="C19" s="112"/>
      <c r="D19" s="112"/>
      <c r="E19" s="113"/>
      <c r="F19" s="114"/>
    </row>
    <row r="20" spans="1:12" x14ac:dyDescent="0.35">
      <c r="A20" s="112" t="s">
        <v>15</v>
      </c>
      <c r="B20" s="115" t="s">
        <v>415</v>
      </c>
      <c r="C20" s="88">
        <v>419</v>
      </c>
      <c r="D20" s="112" t="s">
        <v>42</v>
      </c>
      <c r="E20" s="116">
        <v>9.5</v>
      </c>
      <c r="F20" s="117">
        <f>IF(C20="","",(C20*E20))</f>
        <v>3980.5</v>
      </c>
    </row>
    <row r="21" spans="1:12" x14ac:dyDescent="0.35">
      <c r="A21" s="112"/>
      <c r="B21" s="115"/>
      <c r="C21" s="112"/>
      <c r="D21" s="112"/>
      <c r="E21" s="113"/>
      <c r="F21" s="114"/>
    </row>
    <row r="22" spans="1:12" ht="30.75" x14ac:dyDescent="0.45">
      <c r="A22" s="112" t="s">
        <v>16</v>
      </c>
      <c r="B22" s="115" t="s">
        <v>416</v>
      </c>
      <c r="C22" s="88">
        <v>135</v>
      </c>
      <c r="D22" s="112" t="s">
        <v>42</v>
      </c>
      <c r="E22" s="277">
        <v>20</v>
      </c>
      <c r="F22" s="275">
        <f>IF(C22="","",(C22*E22))</f>
        <v>2700</v>
      </c>
    </row>
    <row r="23" spans="1:12" x14ac:dyDescent="0.35">
      <c r="A23" s="112"/>
      <c r="B23" s="115"/>
      <c r="C23" s="112"/>
      <c r="D23" s="112"/>
      <c r="E23" s="113"/>
      <c r="F23" s="114"/>
    </row>
    <row r="24" spans="1:12" x14ac:dyDescent="0.35">
      <c r="A24" s="112" t="s">
        <v>33</v>
      </c>
      <c r="B24" s="115" t="s">
        <v>417</v>
      </c>
      <c r="C24" s="88">
        <v>71</v>
      </c>
      <c r="D24" s="112" t="s">
        <v>30</v>
      </c>
      <c r="E24" s="116">
        <v>47.5</v>
      </c>
      <c r="F24" s="117">
        <f>IF(C24="","",(C24*E24))</f>
        <v>3372.5</v>
      </c>
    </row>
    <row r="25" spans="1:12" x14ac:dyDescent="0.35">
      <c r="A25" s="112"/>
      <c r="B25" s="115"/>
      <c r="C25" s="112"/>
      <c r="D25" s="112"/>
      <c r="E25" s="113"/>
      <c r="F25" s="114"/>
    </row>
    <row r="26" spans="1:12" x14ac:dyDescent="0.35">
      <c r="A26" s="112" t="s">
        <v>17</v>
      </c>
      <c r="B26" s="115" t="s">
        <v>418</v>
      </c>
      <c r="C26" s="88">
        <v>105</v>
      </c>
      <c r="D26" s="112" t="s">
        <v>30</v>
      </c>
      <c r="E26" s="116">
        <v>118</v>
      </c>
      <c r="F26" s="117">
        <f>IF(C26="","",(C26*E26))</f>
        <v>12390</v>
      </c>
    </row>
    <row r="27" spans="1:12" x14ac:dyDescent="0.35">
      <c r="A27" s="112"/>
      <c r="B27" s="115"/>
      <c r="C27" s="112"/>
      <c r="D27" s="112"/>
      <c r="E27" s="113"/>
      <c r="F27" s="114"/>
    </row>
    <row r="28" spans="1:12" x14ac:dyDescent="0.35">
      <c r="A28" s="112" t="s">
        <v>18</v>
      </c>
      <c r="B28" s="115" t="s">
        <v>419</v>
      </c>
      <c r="C28" s="88">
        <v>71</v>
      </c>
      <c r="D28" s="112" t="s">
        <v>30</v>
      </c>
      <c r="E28" s="116">
        <v>0.65</v>
      </c>
      <c r="F28" s="117">
        <f>IF(C28="","",(C28*E28))</f>
        <v>46.15</v>
      </c>
    </row>
    <row r="29" spans="1:12" x14ac:dyDescent="0.35">
      <c r="A29" s="112"/>
      <c r="B29" s="115"/>
      <c r="C29" s="112"/>
      <c r="D29" s="112"/>
      <c r="E29" s="113"/>
      <c r="F29" s="114"/>
    </row>
    <row r="30" spans="1:12" x14ac:dyDescent="0.35">
      <c r="A30" s="112" t="s">
        <v>19</v>
      </c>
      <c r="B30" s="115" t="s">
        <v>420</v>
      </c>
      <c r="C30" s="88">
        <f>C22+C18+C16+C14+C10</f>
        <v>2027.1</v>
      </c>
      <c r="D30" s="112" t="s">
        <v>42</v>
      </c>
      <c r="E30" s="116">
        <v>6.1</v>
      </c>
      <c r="F30" s="117">
        <f>IF(C30="","",(C30*E30))</f>
        <v>12365.31</v>
      </c>
      <c r="H30" s="337">
        <v>90</v>
      </c>
      <c r="I30" s="100" t="s">
        <v>136</v>
      </c>
    </row>
    <row r="31" spans="1:12" x14ac:dyDescent="0.35">
      <c r="A31" s="112"/>
      <c r="B31" s="115"/>
      <c r="C31" s="112"/>
      <c r="D31" s="112"/>
      <c r="E31" s="113"/>
      <c r="F31" s="114"/>
      <c r="H31" s="100" t="s">
        <v>497</v>
      </c>
      <c r="I31" s="338">
        <v>0.108</v>
      </c>
      <c r="J31" s="339">
        <f>SUM(C10)</f>
        <v>358.6</v>
      </c>
      <c r="K31" s="121">
        <f>J31*I31</f>
        <v>38.7288</v>
      </c>
      <c r="L31" s="100">
        <f>K31*H30</f>
        <v>3485.5920000000001</v>
      </c>
    </row>
    <row r="32" spans="1:12" x14ac:dyDescent="0.35">
      <c r="A32" s="112" t="s">
        <v>4</v>
      </c>
      <c r="B32" s="115" t="s">
        <v>421</v>
      </c>
      <c r="C32" s="88">
        <v>6</v>
      </c>
      <c r="D32" s="112" t="s">
        <v>430</v>
      </c>
      <c r="E32" s="116">
        <v>400</v>
      </c>
      <c r="F32" s="117">
        <f>IF(C32="","",(C32*E32))</f>
        <v>2400</v>
      </c>
      <c r="H32" s="100" t="s">
        <v>498</v>
      </c>
      <c r="I32" s="338">
        <v>5.8999999999999997E-2</v>
      </c>
      <c r="J32" s="339">
        <f>SUM(C22+C18+C16+C14)</f>
        <v>1668.5</v>
      </c>
      <c r="K32" s="121">
        <f>J32*I32</f>
        <v>98.441499999999991</v>
      </c>
      <c r="L32" s="100">
        <f>K32*H30</f>
        <v>8859.7349999999988</v>
      </c>
    </row>
    <row r="33" spans="1:12" x14ac:dyDescent="0.35">
      <c r="A33" s="112"/>
      <c r="B33" s="115"/>
      <c r="C33" s="88"/>
      <c r="D33" s="112"/>
      <c r="E33" s="116"/>
      <c r="F33" s="117" t="str">
        <f t="shared" ref="F33:F63" si="2">IF(C33="","",(C33*E33))</f>
        <v/>
      </c>
    </row>
    <row r="34" spans="1:12" x14ac:dyDescent="0.35">
      <c r="A34" s="112" t="s">
        <v>37</v>
      </c>
      <c r="B34" s="115" t="s">
        <v>423</v>
      </c>
      <c r="C34" s="88">
        <v>6</v>
      </c>
      <c r="D34" s="112" t="s">
        <v>430</v>
      </c>
      <c r="E34" s="116">
        <v>150</v>
      </c>
      <c r="F34" s="117">
        <f t="shared" si="2"/>
        <v>900</v>
      </c>
      <c r="L34" s="100">
        <f>SUM(L31:L32)</f>
        <v>12345.326999999999</v>
      </c>
    </row>
    <row r="35" spans="1:12" x14ac:dyDescent="0.35">
      <c r="A35" s="112"/>
      <c r="B35" s="115"/>
      <c r="C35" s="88"/>
      <c r="D35" s="112"/>
      <c r="E35" s="116"/>
      <c r="F35" s="117"/>
    </row>
    <row r="36" spans="1:12" x14ac:dyDescent="0.35">
      <c r="A36" s="112" t="s">
        <v>105</v>
      </c>
      <c r="B36" s="115" t="s">
        <v>500</v>
      </c>
      <c r="C36" s="88">
        <v>6</v>
      </c>
      <c r="D36" s="112" t="s">
        <v>430</v>
      </c>
      <c r="E36" s="116">
        <v>1700</v>
      </c>
      <c r="F36" s="117">
        <f t="shared" si="2"/>
        <v>10200</v>
      </c>
    </row>
    <row r="37" spans="1:12" x14ac:dyDescent="0.35">
      <c r="A37" s="112"/>
      <c r="B37" s="115"/>
      <c r="C37" s="112"/>
      <c r="D37" s="112"/>
      <c r="E37" s="113"/>
      <c r="F37" s="117" t="str">
        <f t="shared" si="2"/>
        <v/>
      </c>
    </row>
    <row r="38" spans="1:12" x14ac:dyDescent="0.35">
      <c r="A38" s="112" t="s">
        <v>106</v>
      </c>
      <c r="B38" s="115" t="s">
        <v>422</v>
      </c>
      <c r="C38" s="88">
        <v>6</v>
      </c>
      <c r="D38" s="112" t="s">
        <v>430</v>
      </c>
      <c r="E38" s="116">
        <v>6500</v>
      </c>
      <c r="F38" s="117">
        <f t="shared" si="2"/>
        <v>39000</v>
      </c>
    </row>
    <row r="39" spans="1:12" x14ac:dyDescent="0.35">
      <c r="A39" s="112"/>
      <c r="B39" s="115"/>
      <c r="C39" s="112"/>
      <c r="D39" s="112"/>
      <c r="E39" s="113"/>
      <c r="F39" s="117" t="str">
        <f t="shared" si="2"/>
        <v/>
      </c>
    </row>
    <row r="40" spans="1:12" x14ac:dyDescent="0.35">
      <c r="A40" s="112" t="s">
        <v>107</v>
      </c>
      <c r="B40" s="115" t="s">
        <v>424</v>
      </c>
      <c r="C40" s="88">
        <v>6</v>
      </c>
      <c r="D40" s="112" t="s">
        <v>430</v>
      </c>
      <c r="E40" s="116">
        <v>550</v>
      </c>
      <c r="F40" s="117">
        <f t="shared" si="2"/>
        <v>3300</v>
      </c>
    </row>
    <row r="41" spans="1:12" x14ac:dyDescent="0.35">
      <c r="A41" s="112"/>
      <c r="B41" s="115"/>
      <c r="C41" s="112"/>
      <c r="D41" s="112"/>
      <c r="E41" s="113"/>
      <c r="F41" s="117" t="str">
        <f t="shared" si="2"/>
        <v/>
      </c>
    </row>
    <row r="42" spans="1:12" x14ac:dyDescent="0.35">
      <c r="A42" s="112" t="s">
        <v>108</v>
      </c>
      <c r="B42" s="115" t="s">
        <v>456</v>
      </c>
      <c r="C42" s="88">
        <v>12</v>
      </c>
      <c r="D42" s="112" t="s">
        <v>137</v>
      </c>
      <c r="E42" s="116">
        <v>850</v>
      </c>
      <c r="F42" s="117">
        <f t="shared" si="2"/>
        <v>10200</v>
      </c>
    </row>
    <row r="43" spans="1:12" x14ac:dyDescent="0.35">
      <c r="A43" s="112"/>
      <c r="B43" s="115"/>
      <c r="C43" s="88"/>
      <c r="D43" s="112"/>
      <c r="E43" s="113"/>
      <c r="F43" s="117" t="str">
        <f t="shared" si="2"/>
        <v/>
      </c>
    </row>
    <row r="44" spans="1:12" x14ac:dyDescent="0.35">
      <c r="A44" s="112" t="s">
        <v>109</v>
      </c>
      <c r="B44" s="115" t="s">
        <v>457</v>
      </c>
      <c r="C44" s="88">
        <v>6</v>
      </c>
      <c r="D44" s="112" t="s">
        <v>137</v>
      </c>
      <c r="E44" s="116">
        <v>550</v>
      </c>
      <c r="F44" s="117">
        <f t="shared" si="2"/>
        <v>3300</v>
      </c>
    </row>
    <row r="45" spans="1:12" x14ac:dyDescent="0.35">
      <c r="A45" s="112"/>
      <c r="B45" s="115"/>
      <c r="C45" s="112"/>
      <c r="D45" s="112"/>
      <c r="E45" s="113"/>
      <c r="F45" s="117" t="str">
        <f t="shared" si="2"/>
        <v/>
      </c>
    </row>
    <row r="46" spans="1:12" ht="30.75" x14ac:dyDescent="0.35">
      <c r="A46" s="112" t="s">
        <v>110</v>
      </c>
      <c r="B46" s="115" t="s">
        <v>425</v>
      </c>
      <c r="C46" s="88">
        <v>6</v>
      </c>
      <c r="D46" s="112" t="s">
        <v>430</v>
      </c>
      <c r="E46" s="116">
        <v>1375</v>
      </c>
      <c r="F46" s="117">
        <f t="shared" si="2"/>
        <v>8250</v>
      </c>
      <c r="G46" s="100" t="s">
        <v>439</v>
      </c>
    </row>
    <row r="47" spans="1:12" x14ac:dyDescent="0.35">
      <c r="A47" s="112"/>
      <c r="B47" s="115"/>
      <c r="C47" s="88"/>
      <c r="D47" s="112"/>
      <c r="E47" s="116"/>
      <c r="F47" s="117" t="str">
        <f t="shared" si="2"/>
        <v/>
      </c>
    </row>
    <row r="48" spans="1:12" x14ac:dyDescent="0.35">
      <c r="A48" s="112" t="s">
        <v>111</v>
      </c>
      <c r="B48" s="115" t="s">
        <v>454</v>
      </c>
      <c r="C48" s="88">
        <v>6</v>
      </c>
      <c r="D48" s="112" t="s">
        <v>430</v>
      </c>
      <c r="E48" s="116">
        <v>575</v>
      </c>
      <c r="F48" s="117">
        <f t="shared" si="2"/>
        <v>3450</v>
      </c>
    </row>
    <row r="49" spans="1:7" x14ac:dyDescent="0.35">
      <c r="A49" s="112"/>
      <c r="B49" s="115"/>
      <c r="C49" s="112"/>
      <c r="D49" s="112"/>
      <c r="E49" s="113"/>
      <c r="F49" s="117" t="str">
        <f t="shared" si="2"/>
        <v/>
      </c>
    </row>
    <row r="50" spans="1:7" x14ac:dyDescent="0.35">
      <c r="A50" s="112" t="s">
        <v>112</v>
      </c>
      <c r="B50" s="115" t="s">
        <v>426</v>
      </c>
      <c r="C50" s="88">
        <v>6</v>
      </c>
      <c r="D50" s="112" t="s">
        <v>430</v>
      </c>
      <c r="E50" s="116">
        <v>350</v>
      </c>
      <c r="F50" s="117">
        <f t="shared" si="2"/>
        <v>2100</v>
      </c>
    </row>
    <row r="51" spans="1:7" x14ac:dyDescent="0.35">
      <c r="A51" s="112"/>
      <c r="B51" s="115"/>
      <c r="C51" s="88"/>
      <c r="D51" s="112"/>
      <c r="E51" s="116"/>
      <c r="F51" s="117" t="str">
        <f t="shared" si="2"/>
        <v/>
      </c>
    </row>
    <row r="52" spans="1:7" ht="30.75" x14ac:dyDescent="0.35">
      <c r="A52" s="112" t="s">
        <v>191</v>
      </c>
      <c r="B52" s="115" t="s">
        <v>427</v>
      </c>
      <c r="C52" s="88">
        <f>6*6</f>
        <v>36</v>
      </c>
      <c r="D52" s="112" t="s">
        <v>438</v>
      </c>
      <c r="E52" s="116">
        <v>105</v>
      </c>
      <c r="F52" s="117">
        <f t="shared" si="2"/>
        <v>3780</v>
      </c>
      <c r="G52" s="100" t="s">
        <v>435</v>
      </c>
    </row>
    <row r="53" spans="1:7" x14ac:dyDescent="0.35">
      <c r="A53" s="112"/>
      <c r="B53" s="115"/>
      <c r="C53" s="88"/>
      <c r="D53" s="112"/>
      <c r="E53" s="116"/>
      <c r="F53" s="117" t="str">
        <f t="shared" si="2"/>
        <v/>
      </c>
    </row>
    <row r="54" spans="1:7" ht="30.75" x14ac:dyDescent="0.35">
      <c r="A54" s="112" t="s">
        <v>192</v>
      </c>
      <c r="B54" s="115" t="s">
        <v>428</v>
      </c>
      <c r="C54" s="88">
        <f>5*6</f>
        <v>30</v>
      </c>
      <c r="D54" s="112" t="s">
        <v>438</v>
      </c>
      <c r="E54" s="116">
        <v>55</v>
      </c>
      <c r="F54" s="117">
        <f t="shared" si="2"/>
        <v>1650</v>
      </c>
      <c r="G54" s="100" t="s">
        <v>435</v>
      </c>
    </row>
    <row r="55" spans="1:7" x14ac:dyDescent="0.35">
      <c r="A55" s="112"/>
      <c r="B55" s="112"/>
      <c r="C55" s="112"/>
      <c r="D55" s="112"/>
      <c r="E55" s="113"/>
      <c r="F55" s="117" t="str">
        <f t="shared" si="2"/>
        <v/>
      </c>
    </row>
    <row r="56" spans="1:7" ht="46.15" x14ac:dyDescent="0.35">
      <c r="A56" s="112" t="s">
        <v>193</v>
      </c>
      <c r="B56" s="115" t="s">
        <v>429</v>
      </c>
      <c r="C56" s="88">
        <v>6</v>
      </c>
      <c r="D56" s="112" t="s">
        <v>430</v>
      </c>
      <c r="E56" s="116">
        <v>725</v>
      </c>
      <c r="F56" s="117">
        <f t="shared" si="2"/>
        <v>4350</v>
      </c>
      <c r="G56" s="100" t="s">
        <v>436</v>
      </c>
    </row>
    <row r="57" spans="1:7" x14ac:dyDescent="0.35">
      <c r="A57" s="112"/>
      <c r="B57" s="115"/>
      <c r="C57" s="88"/>
      <c r="D57" s="112"/>
      <c r="E57" s="116"/>
      <c r="F57" s="117" t="str">
        <f t="shared" si="2"/>
        <v/>
      </c>
    </row>
    <row r="58" spans="1:7" x14ac:dyDescent="0.35">
      <c r="A58" s="112" t="s">
        <v>194</v>
      </c>
      <c r="B58" s="115" t="s">
        <v>433</v>
      </c>
      <c r="C58" s="88">
        <v>6</v>
      </c>
      <c r="D58" s="112" t="s">
        <v>430</v>
      </c>
      <c r="E58" s="116">
        <v>150</v>
      </c>
      <c r="F58" s="117">
        <f t="shared" si="2"/>
        <v>900</v>
      </c>
    </row>
    <row r="59" spans="1:7" x14ac:dyDescent="0.35">
      <c r="A59" s="112"/>
      <c r="B59" s="115"/>
      <c r="C59" s="88"/>
      <c r="D59" s="112"/>
      <c r="E59" s="116"/>
      <c r="F59" s="117" t="str">
        <f t="shared" si="2"/>
        <v/>
      </c>
    </row>
    <row r="60" spans="1:7" ht="46.15" x14ac:dyDescent="0.35">
      <c r="A60" s="112" t="s">
        <v>195</v>
      </c>
      <c r="B60" s="115" t="s">
        <v>437</v>
      </c>
      <c r="C60" s="88">
        <v>6</v>
      </c>
      <c r="D60" s="112" t="s">
        <v>438</v>
      </c>
      <c r="E60" s="116">
        <v>475</v>
      </c>
      <c r="F60" s="117">
        <f t="shared" si="2"/>
        <v>2850</v>
      </c>
      <c r="G60" s="100" t="s">
        <v>499</v>
      </c>
    </row>
    <row r="61" spans="1:7" x14ac:dyDescent="0.35">
      <c r="A61" s="112" t="s">
        <v>196</v>
      </c>
      <c r="B61" s="115" t="s">
        <v>455</v>
      </c>
      <c r="C61" s="88">
        <v>6</v>
      </c>
      <c r="D61" s="112" t="s">
        <v>438</v>
      </c>
      <c r="E61" s="116">
        <v>90</v>
      </c>
      <c r="F61" s="117">
        <f t="shared" si="2"/>
        <v>540</v>
      </c>
    </row>
    <row r="62" spans="1:7" x14ac:dyDescent="0.35">
      <c r="A62" s="112"/>
      <c r="B62" s="115"/>
      <c r="C62" s="88"/>
      <c r="D62" s="112"/>
      <c r="E62" s="116"/>
      <c r="F62" s="117" t="str">
        <f t="shared" si="2"/>
        <v/>
      </c>
    </row>
    <row r="63" spans="1:7" x14ac:dyDescent="0.35">
      <c r="A63" s="112" t="s">
        <v>197</v>
      </c>
      <c r="B63" s="115" t="s">
        <v>459</v>
      </c>
      <c r="C63" s="88">
        <v>6</v>
      </c>
      <c r="D63" s="112" t="s">
        <v>430</v>
      </c>
      <c r="E63" s="116">
        <v>250</v>
      </c>
      <c r="F63" s="117">
        <f t="shared" si="2"/>
        <v>1500</v>
      </c>
    </row>
    <row r="64" spans="1:7" x14ac:dyDescent="0.35">
      <c r="A64" s="112"/>
      <c r="B64" s="118"/>
      <c r="C64" s="88"/>
      <c r="D64" s="112"/>
      <c r="E64" s="116"/>
      <c r="F64" s="117"/>
    </row>
    <row r="65" spans="1:7" x14ac:dyDescent="0.35">
      <c r="A65" s="38"/>
      <c r="B65" s="6"/>
      <c r="C65" s="6"/>
      <c r="D65" s="23"/>
      <c r="E65" s="6"/>
      <c r="F65" s="31"/>
    </row>
    <row r="66" spans="1:7" x14ac:dyDescent="0.35">
      <c r="A66" s="39"/>
      <c r="B66" s="9"/>
      <c r="C66" s="9"/>
      <c r="D66" s="40" t="s">
        <v>27</v>
      </c>
      <c r="E66" s="40" t="s">
        <v>20</v>
      </c>
      <c r="F66" s="33">
        <f>SUM(F5:F63)</f>
        <v>195918.56</v>
      </c>
    </row>
    <row r="67" spans="1:7" x14ac:dyDescent="0.35">
      <c r="A67" s="41"/>
      <c r="B67" s="12"/>
      <c r="C67" s="12"/>
      <c r="D67" s="24"/>
      <c r="E67" s="12"/>
      <c r="F67" s="34"/>
    </row>
    <row r="68" spans="1:7" x14ac:dyDescent="0.35">
      <c r="A68" s="25"/>
      <c r="B68" s="27"/>
      <c r="C68" s="18"/>
      <c r="D68" s="25"/>
      <c r="E68" s="17"/>
      <c r="F68" s="30"/>
    </row>
    <row r="69" spans="1:7" x14ac:dyDescent="0.35">
      <c r="A69" s="112"/>
      <c r="B69" s="331" t="s">
        <v>125</v>
      </c>
      <c r="C69" s="112"/>
      <c r="D69" s="112"/>
      <c r="E69" s="113"/>
      <c r="F69" s="114"/>
    </row>
    <row r="70" spans="1:7" x14ac:dyDescent="0.35">
      <c r="A70" s="112"/>
      <c r="B70" s="112"/>
      <c r="C70" s="112"/>
      <c r="D70" s="112"/>
      <c r="E70" s="113"/>
      <c r="F70" s="114"/>
    </row>
    <row r="71" spans="1:7" x14ac:dyDescent="0.45">
      <c r="A71" s="119" t="s">
        <v>198</v>
      </c>
      <c r="B71" s="2" t="s">
        <v>410</v>
      </c>
      <c r="C71" s="18">
        <v>40</v>
      </c>
      <c r="D71" s="276" t="s">
        <v>30</v>
      </c>
      <c r="E71" s="277">
        <v>9</v>
      </c>
      <c r="F71" s="117">
        <f t="shared" ref="F71:F74" si="3">IF(C71="","",(C71*E71))</f>
        <v>360</v>
      </c>
    </row>
    <row r="72" spans="1:7" x14ac:dyDescent="0.35">
      <c r="A72" s="119"/>
      <c r="B72" s="115"/>
      <c r="C72" s="89"/>
      <c r="D72" s="112"/>
      <c r="E72" s="116"/>
      <c r="F72" s="117" t="str">
        <f t="shared" si="3"/>
        <v/>
      </c>
    </row>
    <row r="73" spans="1:7" ht="30.75" x14ac:dyDescent="0.45">
      <c r="A73" s="119" t="s">
        <v>199</v>
      </c>
      <c r="B73" s="2" t="s">
        <v>411</v>
      </c>
      <c r="C73" s="135">
        <f>192*1.1</f>
        <v>211.20000000000002</v>
      </c>
      <c r="D73" s="276" t="s">
        <v>42</v>
      </c>
      <c r="E73" s="277">
        <v>41</v>
      </c>
      <c r="F73" s="275">
        <f t="shared" si="3"/>
        <v>8659.2000000000007</v>
      </c>
    </row>
    <row r="74" spans="1:7" x14ac:dyDescent="0.35">
      <c r="A74" s="119"/>
      <c r="B74" s="115"/>
      <c r="C74" s="89"/>
      <c r="D74" s="112"/>
      <c r="E74" s="116"/>
      <c r="F74" s="117" t="str">
        <f t="shared" si="3"/>
        <v/>
      </c>
    </row>
    <row r="75" spans="1:7" x14ac:dyDescent="0.45">
      <c r="A75" s="119" t="s">
        <v>200</v>
      </c>
      <c r="B75" s="115" t="s">
        <v>412</v>
      </c>
      <c r="C75" s="135">
        <v>256.20000000000005</v>
      </c>
      <c r="D75" s="112" t="s">
        <v>42</v>
      </c>
      <c r="E75" s="116">
        <v>38</v>
      </c>
      <c r="F75" s="117">
        <f>IF(C75="","",(C75*E75))</f>
        <v>9735.6000000000022</v>
      </c>
    </row>
    <row r="76" spans="1:7" x14ac:dyDescent="0.35">
      <c r="A76" s="119"/>
      <c r="B76" s="115"/>
      <c r="C76" s="88"/>
      <c r="D76" s="112"/>
      <c r="E76" s="116"/>
      <c r="F76" s="117"/>
    </row>
    <row r="77" spans="1:7" x14ac:dyDescent="0.35">
      <c r="A77" s="119" t="s">
        <v>201</v>
      </c>
      <c r="B77" s="115" t="s">
        <v>413</v>
      </c>
      <c r="C77" s="88">
        <v>256.20000000000005</v>
      </c>
      <c r="D77" s="112" t="s">
        <v>42</v>
      </c>
      <c r="E77" s="116">
        <v>19</v>
      </c>
      <c r="F77" s="117">
        <f>IF(C77="","",(C77*E77))</f>
        <v>4867.8000000000011</v>
      </c>
    </row>
    <row r="78" spans="1:7" x14ac:dyDescent="0.35">
      <c r="A78" s="119"/>
      <c r="B78" s="115"/>
      <c r="C78" s="88"/>
      <c r="D78" s="112"/>
      <c r="E78" s="116"/>
      <c r="F78" s="117" t="str">
        <f t="shared" ref="F78:F79" si="4">IF(C78="","",(C78*E78))</f>
        <v/>
      </c>
    </row>
    <row r="79" spans="1:7" x14ac:dyDescent="0.35">
      <c r="A79" s="119" t="s">
        <v>202</v>
      </c>
      <c r="B79" s="332" t="s">
        <v>431</v>
      </c>
      <c r="C79" s="333"/>
      <c r="D79" s="334" t="s">
        <v>42</v>
      </c>
      <c r="E79" s="335"/>
      <c r="F79" s="336" t="str">
        <f t="shared" si="4"/>
        <v/>
      </c>
      <c r="G79" s="100" t="s">
        <v>460</v>
      </c>
    </row>
    <row r="80" spans="1:7" x14ac:dyDescent="0.35">
      <c r="A80" s="119"/>
      <c r="B80" s="115"/>
      <c r="C80" s="88"/>
      <c r="D80" s="112"/>
      <c r="E80" s="116"/>
      <c r="F80" s="117"/>
    </row>
    <row r="81" spans="1:6" ht="30.75" x14ac:dyDescent="0.35">
      <c r="A81" s="119" t="s">
        <v>203</v>
      </c>
      <c r="B81" s="115" t="s">
        <v>414</v>
      </c>
      <c r="C81" s="88">
        <v>138</v>
      </c>
      <c r="D81" s="112" t="s">
        <v>42</v>
      </c>
      <c r="E81" s="116">
        <v>20</v>
      </c>
      <c r="F81" s="117">
        <f>IF(C81="","",(C81*E81))</f>
        <v>2760</v>
      </c>
    </row>
    <row r="82" spans="1:6" x14ac:dyDescent="0.35">
      <c r="A82" s="112"/>
      <c r="B82" s="115"/>
      <c r="C82" s="112"/>
      <c r="D82" s="112"/>
      <c r="E82" s="113"/>
      <c r="F82" s="114"/>
    </row>
    <row r="83" spans="1:6" x14ac:dyDescent="0.35">
      <c r="A83" s="112" t="s">
        <v>204</v>
      </c>
      <c r="B83" s="115" t="s">
        <v>415</v>
      </c>
      <c r="C83" s="88">
        <v>69</v>
      </c>
      <c r="D83" s="112" t="s">
        <v>42</v>
      </c>
      <c r="E83" s="116">
        <v>9.5</v>
      </c>
      <c r="F83" s="117">
        <f>IF(C83="","",(C83*E83))</f>
        <v>655.5</v>
      </c>
    </row>
    <row r="84" spans="1:6" x14ac:dyDescent="0.35">
      <c r="A84" s="112"/>
      <c r="B84" s="115"/>
      <c r="C84" s="112"/>
      <c r="D84" s="112"/>
      <c r="E84" s="113"/>
      <c r="F84" s="114"/>
    </row>
    <row r="85" spans="1:6" ht="30.75" x14ac:dyDescent="0.45">
      <c r="A85" s="112" t="s">
        <v>205</v>
      </c>
      <c r="B85" s="115" t="s">
        <v>416</v>
      </c>
      <c r="C85" s="88">
        <v>45</v>
      </c>
      <c r="D85" s="112" t="s">
        <v>42</v>
      </c>
      <c r="E85" s="277">
        <v>20</v>
      </c>
      <c r="F85" s="275">
        <f>IF(C85="","",(C85*E85))</f>
        <v>900</v>
      </c>
    </row>
    <row r="86" spans="1:6" x14ac:dyDescent="0.35">
      <c r="A86" s="112"/>
      <c r="B86" s="115"/>
      <c r="C86" s="112"/>
      <c r="D86" s="112"/>
      <c r="E86" s="113"/>
      <c r="F86" s="114"/>
    </row>
    <row r="87" spans="1:6" x14ac:dyDescent="0.35">
      <c r="A87" s="112" t="s">
        <v>253</v>
      </c>
      <c r="B87" s="115" t="s">
        <v>417</v>
      </c>
      <c r="C87" s="88">
        <v>29</v>
      </c>
      <c r="D87" s="112" t="s">
        <v>30</v>
      </c>
      <c r="E87" s="116">
        <v>47.5</v>
      </c>
      <c r="F87" s="117">
        <f>IF(C87="","",(C87*E87))</f>
        <v>1377.5</v>
      </c>
    </row>
    <row r="88" spans="1:6" x14ac:dyDescent="0.35">
      <c r="A88" s="112"/>
      <c r="B88" s="115"/>
      <c r="C88" s="112"/>
      <c r="D88" s="112"/>
      <c r="E88" s="113"/>
      <c r="F88" s="114"/>
    </row>
    <row r="89" spans="1:6" x14ac:dyDescent="0.35">
      <c r="A89" s="112" t="s">
        <v>254</v>
      </c>
      <c r="B89" s="115" t="s">
        <v>418</v>
      </c>
      <c r="C89" s="88">
        <v>43</v>
      </c>
      <c r="D89" s="112" t="s">
        <v>30</v>
      </c>
      <c r="E89" s="116">
        <v>118</v>
      </c>
      <c r="F89" s="117">
        <f>IF(C89="","",(C89*E89))</f>
        <v>5074</v>
      </c>
    </row>
    <row r="90" spans="1:6" x14ac:dyDescent="0.35">
      <c r="A90" s="112"/>
      <c r="B90" s="115"/>
      <c r="C90" s="112"/>
      <c r="D90" s="112"/>
      <c r="E90" s="113"/>
      <c r="F90" s="114"/>
    </row>
    <row r="91" spans="1:6" x14ac:dyDescent="0.35">
      <c r="A91" s="112" t="s">
        <v>255</v>
      </c>
      <c r="B91" s="115" t="s">
        <v>419</v>
      </c>
      <c r="C91" s="88">
        <v>29</v>
      </c>
      <c r="D91" s="112" t="s">
        <v>30</v>
      </c>
      <c r="E91" s="116">
        <v>0.65</v>
      </c>
      <c r="F91" s="117">
        <f>IF(C91="","",(C91*E91))</f>
        <v>18.850000000000001</v>
      </c>
    </row>
    <row r="92" spans="1:6" x14ac:dyDescent="0.35">
      <c r="A92" s="112"/>
      <c r="B92" s="115"/>
      <c r="C92" s="112"/>
      <c r="D92" s="112"/>
      <c r="E92" s="113"/>
      <c r="F92" s="114"/>
    </row>
    <row r="93" spans="1:6" x14ac:dyDescent="0.35">
      <c r="A93" s="112" t="s">
        <v>256</v>
      </c>
      <c r="B93" s="115" t="s">
        <v>420</v>
      </c>
      <c r="C93" s="88">
        <f>SUM(C85+C81+C75+C73)</f>
        <v>650.40000000000009</v>
      </c>
      <c r="D93" s="112" t="s">
        <v>31</v>
      </c>
      <c r="E93" s="116">
        <v>6.1</v>
      </c>
      <c r="F93" s="117">
        <f>IF(C93="","",(C93*E93))</f>
        <v>3967.4400000000005</v>
      </c>
    </row>
    <row r="94" spans="1:6" x14ac:dyDescent="0.35">
      <c r="A94" s="112"/>
      <c r="B94" s="115"/>
      <c r="C94" s="112"/>
      <c r="D94" s="112"/>
      <c r="E94" s="113"/>
      <c r="F94" s="114"/>
    </row>
    <row r="95" spans="1:6" x14ac:dyDescent="0.35">
      <c r="A95" s="112" t="s">
        <v>257</v>
      </c>
      <c r="B95" s="115" t="s">
        <v>421</v>
      </c>
      <c r="C95" s="88">
        <v>2</v>
      </c>
      <c r="D95" s="112" t="s">
        <v>430</v>
      </c>
      <c r="E95" s="116">
        <v>400</v>
      </c>
      <c r="F95" s="117">
        <f>IF(C95="","",(C95*E95))</f>
        <v>800</v>
      </c>
    </row>
    <row r="96" spans="1:6" x14ac:dyDescent="0.35">
      <c r="A96" s="112"/>
      <c r="B96" s="115"/>
      <c r="C96" s="88"/>
      <c r="D96" s="112"/>
      <c r="E96" s="116"/>
      <c r="F96" s="117" t="str">
        <f t="shared" ref="F96:F127" si="5">IF(C96="","",(C96*E96))</f>
        <v/>
      </c>
    </row>
    <row r="97" spans="1:7" x14ac:dyDescent="0.35">
      <c r="A97" s="112" t="s">
        <v>258</v>
      </c>
      <c r="B97" s="115" t="s">
        <v>423</v>
      </c>
      <c r="C97" s="88">
        <v>2</v>
      </c>
      <c r="D97" s="112" t="s">
        <v>430</v>
      </c>
      <c r="E97" s="116">
        <v>150</v>
      </c>
      <c r="F97" s="117">
        <f t="shared" si="5"/>
        <v>300</v>
      </c>
    </row>
    <row r="98" spans="1:7" x14ac:dyDescent="0.35">
      <c r="A98" s="112"/>
      <c r="B98" s="115"/>
      <c r="C98" s="112"/>
      <c r="D98" s="112"/>
      <c r="E98" s="113"/>
      <c r="F98" s="117" t="str">
        <f t="shared" si="5"/>
        <v/>
      </c>
    </row>
    <row r="99" spans="1:7" x14ac:dyDescent="0.35">
      <c r="A99" s="112" t="s">
        <v>259</v>
      </c>
      <c r="B99" s="115" t="s">
        <v>500</v>
      </c>
      <c r="C99" s="88">
        <v>2</v>
      </c>
      <c r="D99" s="112" t="s">
        <v>430</v>
      </c>
      <c r="E99" s="116">
        <v>1700</v>
      </c>
      <c r="F99" s="117">
        <f t="shared" si="5"/>
        <v>3400</v>
      </c>
    </row>
    <row r="100" spans="1:7" x14ac:dyDescent="0.35">
      <c r="A100" s="112"/>
      <c r="B100" s="115"/>
      <c r="C100" s="112"/>
      <c r="D100" s="112"/>
      <c r="E100" s="113"/>
      <c r="F100" s="117"/>
    </row>
    <row r="101" spans="1:7" x14ac:dyDescent="0.35">
      <c r="A101" s="112" t="s">
        <v>260</v>
      </c>
      <c r="B101" s="115" t="s">
        <v>422</v>
      </c>
      <c r="C101" s="88">
        <v>2</v>
      </c>
      <c r="D101" s="112" t="s">
        <v>430</v>
      </c>
      <c r="E101" s="116">
        <v>6500</v>
      </c>
      <c r="F101" s="117">
        <f t="shared" si="5"/>
        <v>13000</v>
      </c>
    </row>
    <row r="102" spans="1:7" x14ac:dyDescent="0.35">
      <c r="A102" s="112"/>
      <c r="B102" s="115"/>
      <c r="C102" s="112"/>
      <c r="D102" s="112"/>
      <c r="E102" s="113"/>
      <c r="F102" s="117" t="str">
        <f t="shared" si="5"/>
        <v/>
      </c>
    </row>
    <row r="103" spans="1:7" x14ac:dyDescent="0.35">
      <c r="A103" s="112" t="s">
        <v>261</v>
      </c>
      <c r="B103" s="115" t="s">
        <v>424</v>
      </c>
      <c r="C103" s="88">
        <v>2</v>
      </c>
      <c r="D103" s="112" t="s">
        <v>430</v>
      </c>
      <c r="E103" s="116">
        <v>550</v>
      </c>
      <c r="F103" s="117">
        <f t="shared" si="5"/>
        <v>1100</v>
      </c>
    </row>
    <row r="104" spans="1:7" x14ac:dyDescent="0.35">
      <c r="A104" s="112"/>
      <c r="B104" s="115"/>
      <c r="C104" s="112"/>
      <c r="D104" s="112"/>
      <c r="E104" s="113"/>
      <c r="F104" s="117" t="str">
        <f t="shared" si="5"/>
        <v/>
      </c>
    </row>
    <row r="105" spans="1:7" x14ac:dyDescent="0.35">
      <c r="A105" s="112" t="s">
        <v>262</v>
      </c>
      <c r="B105" s="115" t="s">
        <v>456</v>
      </c>
      <c r="C105" s="88">
        <v>4</v>
      </c>
      <c r="D105" s="112" t="s">
        <v>137</v>
      </c>
      <c r="E105" s="116">
        <v>850</v>
      </c>
      <c r="F105" s="117">
        <f t="shared" si="5"/>
        <v>3400</v>
      </c>
    </row>
    <row r="106" spans="1:7" x14ac:dyDescent="0.35">
      <c r="A106" s="112"/>
      <c r="B106" s="115"/>
      <c r="C106" s="88"/>
      <c r="D106" s="112"/>
      <c r="E106" s="113"/>
      <c r="F106" s="117" t="str">
        <f t="shared" si="5"/>
        <v/>
      </c>
    </row>
    <row r="107" spans="1:7" x14ac:dyDescent="0.35">
      <c r="A107" s="112" t="s">
        <v>263</v>
      </c>
      <c r="B107" s="115" t="s">
        <v>457</v>
      </c>
      <c r="C107" s="88">
        <v>2</v>
      </c>
      <c r="D107" s="112" t="s">
        <v>137</v>
      </c>
      <c r="E107" s="116">
        <v>550</v>
      </c>
      <c r="F107" s="117">
        <f t="shared" si="5"/>
        <v>1100</v>
      </c>
    </row>
    <row r="108" spans="1:7" x14ac:dyDescent="0.35">
      <c r="A108" s="112"/>
      <c r="B108" s="115"/>
      <c r="C108" s="112"/>
      <c r="D108" s="112"/>
      <c r="E108" s="113"/>
      <c r="F108" s="117" t="str">
        <f t="shared" si="5"/>
        <v/>
      </c>
    </row>
    <row r="109" spans="1:7" ht="30.75" x14ac:dyDescent="0.35">
      <c r="A109" s="112" t="s">
        <v>510</v>
      </c>
      <c r="B109" s="115" t="s">
        <v>425</v>
      </c>
      <c r="C109" s="88">
        <v>2</v>
      </c>
      <c r="D109" s="112" t="s">
        <v>430</v>
      </c>
      <c r="E109" s="116">
        <v>1375</v>
      </c>
      <c r="F109" s="117">
        <f t="shared" si="5"/>
        <v>2750</v>
      </c>
      <c r="G109" s="100" t="s">
        <v>439</v>
      </c>
    </row>
    <row r="110" spans="1:7" x14ac:dyDescent="0.35">
      <c r="A110" s="112"/>
      <c r="B110" s="115"/>
      <c r="C110" s="88"/>
      <c r="D110" s="112"/>
      <c r="E110" s="116"/>
      <c r="F110" s="117" t="str">
        <f t="shared" si="5"/>
        <v/>
      </c>
    </row>
    <row r="111" spans="1:7" x14ac:dyDescent="0.35">
      <c r="A111" s="112" t="s">
        <v>264</v>
      </c>
      <c r="B111" s="115" t="s">
        <v>454</v>
      </c>
      <c r="C111" s="88">
        <v>2</v>
      </c>
      <c r="D111" s="112" t="s">
        <v>430</v>
      </c>
      <c r="E111" s="116">
        <v>575</v>
      </c>
      <c r="F111" s="117">
        <f t="shared" si="5"/>
        <v>1150</v>
      </c>
    </row>
    <row r="112" spans="1:7" x14ac:dyDescent="0.35">
      <c r="A112" s="112"/>
      <c r="B112" s="115"/>
      <c r="C112" s="112"/>
      <c r="D112" s="112"/>
      <c r="E112" s="113"/>
      <c r="F112" s="117" t="str">
        <f t="shared" si="5"/>
        <v/>
      </c>
    </row>
    <row r="113" spans="1:7" x14ac:dyDescent="0.35">
      <c r="A113" s="112" t="s">
        <v>265</v>
      </c>
      <c r="B113" s="115" t="s">
        <v>426</v>
      </c>
      <c r="C113" s="88">
        <v>2</v>
      </c>
      <c r="D113" s="112" t="s">
        <v>430</v>
      </c>
      <c r="E113" s="116">
        <v>350</v>
      </c>
      <c r="F113" s="117">
        <f t="shared" si="5"/>
        <v>700</v>
      </c>
    </row>
    <row r="114" spans="1:7" x14ac:dyDescent="0.35">
      <c r="A114" s="112"/>
      <c r="B114" s="115"/>
      <c r="C114" s="88"/>
      <c r="D114" s="112"/>
      <c r="E114" s="116"/>
      <c r="F114" s="117" t="str">
        <f t="shared" si="5"/>
        <v/>
      </c>
    </row>
    <row r="115" spans="1:7" ht="30.75" x14ac:dyDescent="0.35">
      <c r="A115" s="112" t="s">
        <v>266</v>
      </c>
      <c r="B115" s="115" t="s">
        <v>427</v>
      </c>
      <c r="C115" s="88">
        <f>6*2</f>
        <v>12</v>
      </c>
      <c r="D115" s="112" t="s">
        <v>438</v>
      </c>
      <c r="E115" s="116">
        <v>105</v>
      </c>
      <c r="F115" s="117">
        <f t="shared" si="5"/>
        <v>1260</v>
      </c>
      <c r="G115" s="100" t="s">
        <v>435</v>
      </c>
    </row>
    <row r="116" spans="1:7" x14ac:dyDescent="0.35">
      <c r="A116" s="112"/>
      <c r="B116" s="115"/>
      <c r="C116" s="88"/>
      <c r="D116" s="112"/>
      <c r="E116" s="116"/>
      <c r="F116" s="117" t="str">
        <f t="shared" si="5"/>
        <v/>
      </c>
    </row>
    <row r="117" spans="1:7" ht="30.75" x14ac:dyDescent="0.35">
      <c r="A117" s="112" t="s">
        <v>267</v>
      </c>
      <c r="B117" s="115" t="s">
        <v>428</v>
      </c>
      <c r="C117" s="88">
        <f>5*2</f>
        <v>10</v>
      </c>
      <c r="D117" s="112" t="s">
        <v>438</v>
      </c>
      <c r="E117" s="116">
        <v>55</v>
      </c>
      <c r="F117" s="117">
        <f t="shared" si="5"/>
        <v>550</v>
      </c>
      <c r="G117" s="100" t="s">
        <v>435</v>
      </c>
    </row>
    <row r="118" spans="1:7" x14ac:dyDescent="0.35">
      <c r="A118" s="112"/>
      <c r="B118" s="112"/>
      <c r="C118" s="112"/>
      <c r="D118" s="112"/>
      <c r="E118" s="113"/>
      <c r="F118" s="117" t="str">
        <f t="shared" si="5"/>
        <v/>
      </c>
    </row>
    <row r="119" spans="1:7" ht="46.15" x14ac:dyDescent="0.35">
      <c r="A119" s="112" t="s">
        <v>268</v>
      </c>
      <c r="B119" s="115" t="s">
        <v>429</v>
      </c>
      <c r="C119" s="88">
        <v>2</v>
      </c>
      <c r="D119" s="112" t="s">
        <v>430</v>
      </c>
      <c r="E119" s="116">
        <v>725</v>
      </c>
      <c r="F119" s="117">
        <f t="shared" si="5"/>
        <v>1450</v>
      </c>
      <c r="G119" s="100" t="s">
        <v>436</v>
      </c>
    </row>
    <row r="120" spans="1:7" x14ac:dyDescent="0.35">
      <c r="A120" s="112"/>
      <c r="B120" s="115"/>
      <c r="C120" s="88"/>
      <c r="D120" s="112"/>
      <c r="E120" s="116"/>
      <c r="F120" s="117" t="str">
        <f t="shared" si="5"/>
        <v/>
      </c>
    </row>
    <row r="121" spans="1:7" x14ac:dyDescent="0.35">
      <c r="A121" s="112" t="s">
        <v>269</v>
      </c>
      <c r="B121" s="115" t="s">
        <v>433</v>
      </c>
      <c r="C121" s="88">
        <v>2</v>
      </c>
      <c r="D121" s="112" t="s">
        <v>430</v>
      </c>
      <c r="E121" s="116">
        <v>150</v>
      </c>
      <c r="F121" s="117">
        <f t="shared" si="5"/>
        <v>300</v>
      </c>
    </row>
    <row r="122" spans="1:7" x14ac:dyDescent="0.35">
      <c r="A122" s="112"/>
      <c r="B122" s="115"/>
      <c r="C122" s="88"/>
      <c r="D122" s="112"/>
      <c r="E122" s="116"/>
      <c r="F122" s="117" t="str">
        <f t="shared" si="5"/>
        <v/>
      </c>
    </row>
    <row r="123" spans="1:7" ht="30.75" x14ac:dyDescent="0.35">
      <c r="A123" s="112" t="s">
        <v>270</v>
      </c>
      <c r="B123" s="115" t="s">
        <v>437</v>
      </c>
      <c r="C123" s="88">
        <v>2</v>
      </c>
      <c r="D123" s="112" t="s">
        <v>438</v>
      </c>
      <c r="E123" s="116">
        <f>E60</f>
        <v>475</v>
      </c>
      <c r="F123" s="117">
        <f t="shared" si="5"/>
        <v>950</v>
      </c>
      <c r="G123" s="100" t="s">
        <v>458</v>
      </c>
    </row>
    <row r="124" spans="1:7" x14ac:dyDescent="0.35">
      <c r="A124" s="112"/>
      <c r="B124" s="115"/>
      <c r="C124" s="88"/>
      <c r="D124" s="112"/>
      <c r="E124" s="116"/>
      <c r="F124" s="117"/>
    </row>
    <row r="125" spans="1:7" x14ac:dyDescent="0.35">
      <c r="A125" s="112" t="s">
        <v>271</v>
      </c>
      <c r="B125" s="115" t="s">
        <v>455</v>
      </c>
      <c r="C125" s="88">
        <v>2</v>
      </c>
      <c r="D125" s="112" t="s">
        <v>438</v>
      </c>
      <c r="E125" s="116">
        <v>90</v>
      </c>
      <c r="F125" s="117">
        <f t="shared" si="5"/>
        <v>180</v>
      </c>
    </row>
    <row r="126" spans="1:7" x14ac:dyDescent="0.35">
      <c r="A126" s="112"/>
      <c r="B126" s="115"/>
      <c r="C126" s="88"/>
      <c r="D126" s="112"/>
      <c r="E126" s="116"/>
      <c r="F126" s="117" t="str">
        <f t="shared" si="5"/>
        <v/>
      </c>
    </row>
    <row r="127" spans="1:7" x14ac:dyDescent="0.35">
      <c r="A127" s="112" t="s">
        <v>272</v>
      </c>
      <c r="B127" s="115" t="s">
        <v>459</v>
      </c>
      <c r="C127" s="88">
        <v>2</v>
      </c>
      <c r="D127" s="112" t="s">
        <v>430</v>
      </c>
      <c r="E127" s="116">
        <v>250</v>
      </c>
      <c r="F127" s="117">
        <f t="shared" si="5"/>
        <v>500</v>
      </c>
    </row>
    <row r="128" spans="1:7" x14ac:dyDescent="0.35">
      <c r="A128" s="112"/>
      <c r="B128" s="118"/>
      <c r="C128" s="88"/>
      <c r="D128" s="112"/>
      <c r="E128" s="116"/>
      <c r="F128" s="117"/>
    </row>
    <row r="129" spans="1:6" x14ac:dyDescent="0.35">
      <c r="A129" s="38"/>
      <c r="B129" s="6"/>
      <c r="C129" s="6"/>
      <c r="D129" s="23"/>
      <c r="E129" s="6"/>
      <c r="F129" s="31"/>
    </row>
    <row r="130" spans="1:6" x14ac:dyDescent="0.35">
      <c r="A130" s="39"/>
      <c r="B130" s="9"/>
      <c r="C130" s="9"/>
      <c r="D130" s="40" t="s">
        <v>27</v>
      </c>
      <c r="E130" s="40" t="s">
        <v>20</v>
      </c>
      <c r="F130" s="33">
        <f>SUM(F68:F127)</f>
        <v>71265.890000000014</v>
      </c>
    </row>
    <row r="131" spans="1:6" x14ac:dyDescent="0.35">
      <c r="A131" s="41"/>
      <c r="B131" s="12"/>
      <c r="C131" s="12"/>
      <c r="D131" s="24"/>
      <c r="E131" s="12"/>
      <c r="F131" s="34"/>
    </row>
  </sheetData>
  <pageMargins left="0.55118110236220474" right="0.19685039370078741" top="0.35433070866141736" bottom="0.55118110236220474" header="0.19685039370078741" footer="0.39370078740157483"/>
  <pageSetup paperSize="9" scale="63" orientation="portrait" r:id="rId1"/>
  <headerFooter alignWithMargins="0">
    <oddFooter>&amp;C&amp;"Times New Roman,Regular"Page 8/&amp;P</oddFooter>
  </headerFooter>
  <rowBreaks count="1" manualBreakCount="1">
    <brk id="67"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07C7-C19D-4F32-B9F8-F532EC5A7708}">
  <dimension ref="A1:G126"/>
  <sheetViews>
    <sheetView view="pageBreakPreview" zoomScaleNormal="100" zoomScaleSheetLayoutView="100" workbookViewId="0">
      <selection activeCell="E19" sqref="E19"/>
    </sheetView>
  </sheetViews>
  <sheetFormatPr defaultColWidth="9.1328125" defaultRowHeight="15.4" x14ac:dyDescent="0.35"/>
  <cols>
    <col min="1" max="1" width="4.796875" style="100" customWidth="1"/>
    <col min="2" max="2" width="50.796875" style="100" customWidth="1"/>
    <col min="3" max="3" width="9.796875" style="100" customWidth="1"/>
    <col min="4" max="4" width="6.796875" style="120" customWidth="1"/>
    <col min="5" max="5" width="14.796875" style="100" customWidth="1"/>
    <col min="6" max="6" width="16.796875" style="121" customWidth="1"/>
    <col min="7" max="7" width="42.19921875" style="100" customWidth="1"/>
    <col min="8" max="16384" width="9.1328125" style="100"/>
  </cols>
  <sheetData>
    <row r="1" spans="1:7" x14ac:dyDescent="0.35">
      <c r="A1" s="96"/>
      <c r="B1" s="97"/>
      <c r="C1" s="96"/>
      <c r="D1" s="98" t="s">
        <v>32</v>
      </c>
      <c r="E1" s="97"/>
      <c r="F1" s="99"/>
    </row>
    <row r="2" spans="1:7" x14ac:dyDescent="0.35">
      <c r="A2" s="101" t="str">
        <f>'02 Plot Groundworks'!A2</f>
        <v>The Former Police Station, Haslingden</v>
      </c>
      <c r="B2" s="102"/>
      <c r="C2" s="101"/>
      <c r="D2" s="103" t="s">
        <v>471</v>
      </c>
      <c r="E2" s="102"/>
      <c r="F2" s="104" t="s">
        <v>521</v>
      </c>
    </row>
    <row r="3" spans="1:7" x14ac:dyDescent="0.35">
      <c r="A3" s="105"/>
      <c r="B3" s="106"/>
      <c r="C3" s="105"/>
      <c r="D3" s="107" t="s">
        <v>32</v>
      </c>
      <c r="E3" s="106"/>
      <c r="F3" s="108"/>
    </row>
    <row r="4" spans="1:7" x14ac:dyDescent="0.35">
      <c r="A4" s="109"/>
      <c r="B4" s="110" t="s">
        <v>22</v>
      </c>
      <c r="C4" s="110" t="s">
        <v>26</v>
      </c>
      <c r="D4" s="110" t="s">
        <v>23</v>
      </c>
      <c r="E4" s="110" t="s">
        <v>24</v>
      </c>
      <c r="F4" s="111" t="s">
        <v>25</v>
      </c>
      <c r="G4" s="178" t="s">
        <v>118</v>
      </c>
    </row>
    <row r="5" spans="1:7" x14ac:dyDescent="0.35">
      <c r="A5" s="112"/>
      <c r="B5" s="113"/>
      <c r="C5" s="113"/>
      <c r="D5" s="113"/>
      <c r="E5" s="113"/>
      <c r="F5" s="114"/>
    </row>
    <row r="6" spans="1:7" ht="76.900000000000006" x14ac:dyDescent="0.35">
      <c r="A6" s="112"/>
      <c r="B6" s="124" t="s">
        <v>472</v>
      </c>
      <c r="C6" s="112"/>
      <c r="D6" s="112"/>
      <c r="E6" s="113"/>
      <c r="F6" s="114"/>
      <c r="G6" s="100" t="s">
        <v>479</v>
      </c>
    </row>
    <row r="7" spans="1:7" x14ac:dyDescent="0.35">
      <c r="A7" s="112"/>
      <c r="B7" s="112"/>
      <c r="C7" s="112"/>
      <c r="D7" s="112"/>
      <c r="E7" s="113"/>
      <c r="F7" s="114"/>
    </row>
    <row r="8" spans="1:7" x14ac:dyDescent="0.45">
      <c r="A8" s="119" t="s">
        <v>9</v>
      </c>
      <c r="B8" s="2" t="s">
        <v>473</v>
      </c>
      <c r="C8" s="18">
        <v>2</v>
      </c>
      <c r="D8" s="276" t="s">
        <v>137</v>
      </c>
      <c r="E8" s="277">
        <v>750</v>
      </c>
      <c r="F8" s="117">
        <f t="shared" ref="F8:F11" si="0">IF(C8="","",(C8*E8))</f>
        <v>1500</v>
      </c>
    </row>
    <row r="9" spans="1:7" x14ac:dyDescent="0.35">
      <c r="A9" s="119"/>
      <c r="B9" s="115"/>
      <c r="C9" s="89"/>
      <c r="D9" s="112"/>
      <c r="E9" s="116"/>
      <c r="F9" s="117" t="str">
        <f t="shared" si="0"/>
        <v/>
      </c>
    </row>
    <row r="10" spans="1:7" x14ac:dyDescent="0.45">
      <c r="A10" s="119" t="s">
        <v>10</v>
      </c>
      <c r="B10" s="2" t="s">
        <v>474</v>
      </c>
      <c r="C10" s="135">
        <v>128</v>
      </c>
      <c r="D10" s="276" t="s">
        <v>137</v>
      </c>
      <c r="E10" s="277">
        <v>13</v>
      </c>
      <c r="F10" s="117">
        <f t="shared" si="0"/>
        <v>1664</v>
      </c>
    </row>
    <row r="11" spans="1:7" x14ac:dyDescent="0.35">
      <c r="A11" s="119"/>
      <c r="B11" s="115"/>
      <c r="C11" s="89"/>
      <c r="D11" s="112"/>
      <c r="E11" s="116"/>
      <c r="F11" s="117" t="str">
        <f t="shared" si="0"/>
        <v/>
      </c>
    </row>
    <row r="12" spans="1:7" x14ac:dyDescent="0.35">
      <c r="A12" s="119" t="s">
        <v>11</v>
      </c>
      <c r="B12" s="115" t="s">
        <v>475</v>
      </c>
      <c r="C12" s="88">
        <v>8</v>
      </c>
      <c r="D12" s="112" t="s">
        <v>137</v>
      </c>
      <c r="E12" s="116">
        <v>26</v>
      </c>
      <c r="F12" s="117">
        <f>IF(C12="","",(C12*E12))</f>
        <v>208</v>
      </c>
    </row>
    <row r="13" spans="1:7" x14ac:dyDescent="0.35">
      <c r="A13" s="119"/>
      <c r="B13" s="115"/>
      <c r="C13" s="88"/>
      <c r="D13" s="112"/>
      <c r="E13" s="116"/>
      <c r="F13" s="117"/>
    </row>
    <row r="14" spans="1:7" x14ac:dyDescent="0.35">
      <c r="A14" s="119" t="s">
        <v>12</v>
      </c>
      <c r="B14" s="115" t="s">
        <v>476</v>
      </c>
      <c r="C14" s="88">
        <v>168</v>
      </c>
      <c r="D14" s="112" t="s">
        <v>137</v>
      </c>
      <c r="E14" s="116">
        <v>14.5</v>
      </c>
      <c r="F14" s="117">
        <f>IF(C14="","",(C14*E14))</f>
        <v>2436</v>
      </c>
    </row>
    <row r="15" spans="1:7" x14ac:dyDescent="0.35">
      <c r="A15" s="119"/>
      <c r="B15" s="115"/>
      <c r="C15" s="88"/>
      <c r="D15" s="112"/>
      <c r="E15" s="116"/>
      <c r="F15" s="117" t="str">
        <f t="shared" ref="F15" si="1">IF(C15="","",(C15*E15))</f>
        <v/>
      </c>
    </row>
    <row r="16" spans="1:7" x14ac:dyDescent="0.35">
      <c r="A16" s="119" t="s">
        <v>13</v>
      </c>
      <c r="B16" s="115" t="s">
        <v>477</v>
      </c>
      <c r="C16" s="88">
        <v>55</v>
      </c>
      <c r="D16" s="112" t="s">
        <v>42</v>
      </c>
      <c r="E16" s="116">
        <v>8</v>
      </c>
      <c r="F16" s="117">
        <f>IF(C16="","",(C16*E16))</f>
        <v>440</v>
      </c>
    </row>
    <row r="17" spans="1:6" x14ac:dyDescent="0.35">
      <c r="A17" s="119"/>
      <c r="B17" s="115"/>
      <c r="C17" s="88"/>
      <c r="D17" s="112"/>
      <c r="E17" s="116"/>
      <c r="F17" s="117"/>
    </row>
    <row r="18" spans="1:6" x14ac:dyDescent="0.35">
      <c r="A18" s="119" t="s">
        <v>14</v>
      </c>
      <c r="B18" s="115" t="s">
        <v>478</v>
      </c>
      <c r="C18" s="88">
        <v>262</v>
      </c>
      <c r="D18" s="112" t="s">
        <v>42</v>
      </c>
      <c r="E18" s="116">
        <v>8</v>
      </c>
      <c r="F18" s="117">
        <f>IF(C18="","",(C18*E18))</f>
        <v>2096</v>
      </c>
    </row>
    <row r="19" spans="1:6" x14ac:dyDescent="0.35">
      <c r="A19" s="112"/>
      <c r="B19" s="115"/>
      <c r="C19" s="112"/>
      <c r="D19" s="112"/>
      <c r="E19" s="113"/>
      <c r="F19" s="114"/>
    </row>
    <row r="20" spans="1:6" x14ac:dyDescent="0.35">
      <c r="A20" s="112"/>
      <c r="B20" s="115"/>
      <c r="C20" s="88"/>
      <c r="D20" s="112"/>
      <c r="E20" s="116"/>
      <c r="F20" s="117" t="str">
        <f>IF(C20="","",(C20*E20))</f>
        <v/>
      </c>
    </row>
    <row r="21" spans="1:6" x14ac:dyDescent="0.35">
      <c r="A21" s="112"/>
      <c r="B21" s="115"/>
      <c r="C21" s="112"/>
      <c r="D21" s="112"/>
      <c r="E21" s="113"/>
      <c r="F21" s="114"/>
    </row>
    <row r="22" spans="1:6" x14ac:dyDescent="0.35">
      <c r="A22" s="112"/>
      <c r="B22" s="115"/>
      <c r="C22" s="88"/>
      <c r="D22" s="112"/>
      <c r="E22" s="116"/>
      <c r="F22" s="117" t="str">
        <f>IF(C22="","",(C22*E22))</f>
        <v/>
      </c>
    </row>
    <row r="23" spans="1:6" x14ac:dyDescent="0.35">
      <c r="A23" s="112"/>
      <c r="B23" s="115"/>
      <c r="C23" s="112"/>
      <c r="D23" s="112"/>
      <c r="E23" s="113"/>
      <c r="F23" s="114"/>
    </row>
    <row r="24" spans="1:6" x14ac:dyDescent="0.35">
      <c r="A24" s="112"/>
      <c r="B24" s="115"/>
      <c r="C24" s="88"/>
      <c r="D24" s="112"/>
      <c r="E24" s="116"/>
      <c r="F24" s="117" t="str">
        <f>IF(C24="","",(C24*E24))</f>
        <v/>
      </c>
    </row>
    <row r="25" spans="1:6" x14ac:dyDescent="0.35">
      <c r="A25" s="112"/>
      <c r="B25" s="115"/>
      <c r="C25" s="112"/>
      <c r="D25" s="112"/>
      <c r="E25" s="113"/>
      <c r="F25" s="114"/>
    </row>
    <row r="26" spans="1:6" x14ac:dyDescent="0.35">
      <c r="A26" s="112"/>
      <c r="B26" s="115"/>
      <c r="C26" s="88"/>
      <c r="D26" s="112"/>
      <c r="E26" s="116"/>
      <c r="F26" s="117" t="str">
        <f>IF(C26="","",(C26*E26))</f>
        <v/>
      </c>
    </row>
    <row r="27" spans="1:6" x14ac:dyDescent="0.35">
      <c r="A27" s="112"/>
      <c r="B27" s="115"/>
      <c r="C27" s="112"/>
      <c r="D27" s="112"/>
      <c r="E27" s="113"/>
      <c r="F27" s="114"/>
    </row>
    <row r="28" spans="1:6" x14ac:dyDescent="0.35">
      <c r="A28" s="112"/>
      <c r="B28" s="115"/>
      <c r="C28" s="88"/>
      <c r="D28" s="112"/>
      <c r="E28" s="116"/>
      <c r="F28" s="117" t="str">
        <f>IF(C28="","",(C28*E28))</f>
        <v/>
      </c>
    </row>
    <row r="29" spans="1:6" x14ac:dyDescent="0.35">
      <c r="A29" s="112"/>
      <c r="B29" s="115"/>
      <c r="C29" s="112"/>
      <c r="D29" s="112"/>
      <c r="E29" s="113"/>
      <c r="F29" s="114"/>
    </row>
    <row r="30" spans="1:6" x14ac:dyDescent="0.35">
      <c r="A30" s="112"/>
      <c r="B30" s="115"/>
      <c r="C30" s="88"/>
      <c r="D30" s="112"/>
      <c r="E30" s="116"/>
      <c r="F30" s="117" t="str">
        <f>IF(C30="","",(C30*E30))</f>
        <v/>
      </c>
    </row>
    <row r="31" spans="1:6" x14ac:dyDescent="0.35">
      <c r="A31" s="112"/>
      <c r="B31" s="115"/>
      <c r="C31" s="112"/>
      <c r="D31" s="112"/>
      <c r="E31" s="113"/>
      <c r="F31" s="114"/>
    </row>
    <row r="32" spans="1:6" x14ac:dyDescent="0.35">
      <c r="A32" s="112"/>
      <c r="B32" s="115"/>
      <c r="C32" s="88"/>
      <c r="D32" s="112"/>
      <c r="E32" s="116"/>
      <c r="F32" s="117" t="str">
        <f>IF(C32="","",(C32*E32))</f>
        <v/>
      </c>
    </row>
    <row r="33" spans="1:6" x14ac:dyDescent="0.35">
      <c r="A33" s="112"/>
      <c r="B33" s="115"/>
      <c r="C33" s="88"/>
      <c r="D33" s="112"/>
      <c r="E33" s="116"/>
      <c r="F33" s="117" t="str">
        <f t="shared" ref="F33:F61" si="2">IF(C33="","",(C33*E33))</f>
        <v/>
      </c>
    </row>
    <row r="34" spans="1:6" x14ac:dyDescent="0.35">
      <c r="A34" s="112"/>
      <c r="B34" s="115"/>
      <c r="C34" s="88"/>
      <c r="D34" s="112"/>
      <c r="E34" s="116"/>
      <c r="F34" s="117" t="str">
        <f t="shared" si="2"/>
        <v/>
      </c>
    </row>
    <row r="35" spans="1:6" x14ac:dyDescent="0.35">
      <c r="A35" s="112"/>
      <c r="B35" s="115"/>
      <c r="C35" s="112"/>
      <c r="D35" s="112"/>
      <c r="E35" s="113"/>
      <c r="F35" s="117" t="str">
        <f t="shared" si="2"/>
        <v/>
      </c>
    </row>
    <row r="36" spans="1:6" x14ac:dyDescent="0.35">
      <c r="A36" s="112"/>
      <c r="B36" s="115"/>
      <c r="C36" s="88"/>
      <c r="D36" s="112"/>
      <c r="E36" s="113"/>
      <c r="F36" s="117" t="str">
        <f t="shared" si="2"/>
        <v/>
      </c>
    </row>
    <row r="37" spans="1:6" x14ac:dyDescent="0.35">
      <c r="A37" s="112"/>
      <c r="B37" s="115"/>
      <c r="C37" s="112"/>
      <c r="D37" s="112"/>
      <c r="E37" s="113"/>
      <c r="F37" s="117" t="str">
        <f t="shared" si="2"/>
        <v/>
      </c>
    </row>
    <row r="38" spans="1:6" x14ac:dyDescent="0.35">
      <c r="A38" s="112"/>
      <c r="B38" s="115"/>
      <c r="C38" s="88"/>
      <c r="D38" s="112"/>
      <c r="E38" s="113"/>
      <c r="F38" s="117" t="str">
        <f t="shared" si="2"/>
        <v/>
      </c>
    </row>
    <row r="39" spans="1:6" x14ac:dyDescent="0.35">
      <c r="A39" s="112"/>
      <c r="B39" s="115"/>
      <c r="C39" s="112"/>
      <c r="D39" s="112"/>
      <c r="E39" s="113"/>
      <c r="F39" s="117" t="str">
        <f t="shared" si="2"/>
        <v/>
      </c>
    </row>
    <row r="40" spans="1:6" x14ac:dyDescent="0.35">
      <c r="A40" s="112"/>
      <c r="B40" s="115"/>
      <c r="C40" s="88"/>
      <c r="D40" s="112"/>
      <c r="E40" s="113"/>
      <c r="F40" s="117" t="str">
        <f t="shared" si="2"/>
        <v/>
      </c>
    </row>
    <row r="41" spans="1:6" x14ac:dyDescent="0.35">
      <c r="A41" s="112"/>
      <c r="B41" s="115"/>
      <c r="C41" s="88"/>
      <c r="D41" s="112"/>
      <c r="E41" s="113"/>
      <c r="F41" s="117" t="str">
        <f t="shared" si="2"/>
        <v/>
      </c>
    </row>
    <row r="42" spans="1:6" x14ac:dyDescent="0.35">
      <c r="A42" s="112"/>
      <c r="B42" s="115"/>
      <c r="C42" s="88"/>
      <c r="D42" s="112"/>
      <c r="E42" s="113"/>
      <c r="F42" s="117" t="str">
        <f t="shared" si="2"/>
        <v/>
      </c>
    </row>
    <row r="43" spans="1:6" x14ac:dyDescent="0.35">
      <c r="A43" s="112"/>
      <c r="B43" s="115"/>
      <c r="C43" s="112"/>
      <c r="D43" s="112"/>
      <c r="E43" s="113"/>
      <c r="F43" s="117" t="str">
        <f t="shared" si="2"/>
        <v/>
      </c>
    </row>
    <row r="44" spans="1:6" x14ac:dyDescent="0.35">
      <c r="A44" s="112"/>
      <c r="B44" s="115"/>
      <c r="C44" s="88"/>
      <c r="D44" s="112"/>
      <c r="E44" s="116"/>
      <c r="F44" s="117" t="str">
        <f t="shared" si="2"/>
        <v/>
      </c>
    </row>
    <row r="45" spans="1:6" x14ac:dyDescent="0.35">
      <c r="A45" s="112"/>
      <c r="B45" s="115"/>
      <c r="C45" s="88"/>
      <c r="D45" s="112"/>
      <c r="E45" s="116"/>
      <c r="F45" s="117" t="str">
        <f t="shared" si="2"/>
        <v/>
      </c>
    </row>
    <row r="46" spans="1:6" x14ac:dyDescent="0.35">
      <c r="A46" s="112"/>
      <c r="B46" s="115"/>
      <c r="C46" s="88"/>
      <c r="D46" s="112"/>
      <c r="E46" s="116"/>
      <c r="F46" s="117" t="str">
        <f t="shared" si="2"/>
        <v/>
      </c>
    </row>
    <row r="47" spans="1:6" x14ac:dyDescent="0.35">
      <c r="A47" s="112"/>
      <c r="B47" s="115"/>
      <c r="C47" s="112"/>
      <c r="D47" s="112"/>
      <c r="E47" s="113"/>
      <c r="F47" s="117" t="str">
        <f t="shared" si="2"/>
        <v/>
      </c>
    </row>
    <row r="48" spans="1:6" x14ac:dyDescent="0.35">
      <c r="A48" s="112"/>
      <c r="B48" s="115"/>
      <c r="C48" s="88"/>
      <c r="D48" s="112"/>
      <c r="E48" s="116"/>
      <c r="F48" s="117" t="str">
        <f t="shared" si="2"/>
        <v/>
      </c>
    </row>
    <row r="49" spans="1:6" x14ac:dyDescent="0.35">
      <c r="A49" s="112"/>
      <c r="B49" s="115"/>
      <c r="C49" s="88"/>
      <c r="D49" s="112"/>
      <c r="E49" s="116"/>
      <c r="F49" s="117" t="str">
        <f t="shared" si="2"/>
        <v/>
      </c>
    </row>
    <row r="50" spans="1:6" x14ac:dyDescent="0.35">
      <c r="A50" s="112"/>
      <c r="B50" s="115"/>
      <c r="C50" s="88"/>
      <c r="D50" s="112"/>
      <c r="E50" s="116"/>
      <c r="F50" s="117" t="str">
        <f t="shared" si="2"/>
        <v/>
      </c>
    </row>
    <row r="51" spans="1:6" x14ac:dyDescent="0.35">
      <c r="A51" s="112"/>
      <c r="B51" s="115"/>
      <c r="C51" s="88"/>
      <c r="D51" s="112"/>
      <c r="E51" s="116"/>
      <c r="F51" s="117" t="str">
        <f t="shared" si="2"/>
        <v/>
      </c>
    </row>
    <row r="52" spans="1:6" x14ac:dyDescent="0.35">
      <c r="A52" s="112"/>
      <c r="B52" s="115"/>
      <c r="C52" s="88"/>
      <c r="D52" s="112"/>
      <c r="E52" s="116"/>
      <c r="F52" s="117" t="str">
        <f t="shared" si="2"/>
        <v/>
      </c>
    </row>
    <row r="53" spans="1:6" x14ac:dyDescent="0.35">
      <c r="A53" s="112"/>
      <c r="B53" s="112"/>
      <c r="C53" s="112"/>
      <c r="D53" s="112"/>
      <c r="E53" s="113"/>
      <c r="F53" s="117" t="str">
        <f t="shared" si="2"/>
        <v/>
      </c>
    </row>
    <row r="54" spans="1:6" x14ac:dyDescent="0.35">
      <c r="A54" s="112"/>
      <c r="B54" s="115"/>
      <c r="C54" s="88"/>
      <c r="D54" s="112"/>
      <c r="E54" s="116"/>
      <c r="F54" s="117" t="str">
        <f t="shared" si="2"/>
        <v/>
      </c>
    </row>
    <row r="55" spans="1:6" x14ac:dyDescent="0.35">
      <c r="A55" s="112"/>
      <c r="B55" s="115"/>
      <c r="C55" s="88"/>
      <c r="D55" s="112"/>
      <c r="E55" s="116"/>
      <c r="F55" s="117" t="str">
        <f t="shared" si="2"/>
        <v/>
      </c>
    </row>
    <row r="56" spans="1:6" x14ac:dyDescent="0.35">
      <c r="A56" s="112"/>
      <c r="B56" s="115"/>
      <c r="C56" s="88"/>
      <c r="D56" s="112"/>
      <c r="E56" s="116"/>
      <c r="F56" s="117" t="str">
        <f t="shared" si="2"/>
        <v/>
      </c>
    </row>
    <row r="57" spans="1:6" x14ac:dyDescent="0.35">
      <c r="A57" s="112"/>
      <c r="B57" s="115"/>
      <c r="C57" s="88"/>
      <c r="D57" s="112"/>
      <c r="E57" s="116"/>
      <c r="F57" s="117" t="str">
        <f t="shared" si="2"/>
        <v/>
      </c>
    </row>
    <row r="58" spans="1:6" x14ac:dyDescent="0.35">
      <c r="A58" s="112"/>
      <c r="B58" s="115"/>
      <c r="C58" s="88"/>
      <c r="D58" s="112"/>
      <c r="E58" s="116"/>
      <c r="F58" s="117" t="str">
        <f t="shared" si="2"/>
        <v/>
      </c>
    </row>
    <row r="59" spans="1:6" x14ac:dyDescent="0.35">
      <c r="A59" s="112"/>
      <c r="B59" s="115"/>
      <c r="C59" s="88"/>
      <c r="D59" s="112"/>
      <c r="E59" s="116"/>
      <c r="F59" s="117" t="str">
        <f t="shared" si="2"/>
        <v/>
      </c>
    </row>
    <row r="60" spans="1:6" x14ac:dyDescent="0.35">
      <c r="A60" s="112"/>
      <c r="B60" s="115"/>
      <c r="C60" s="88"/>
      <c r="D60" s="112"/>
      <c r="E60" s="116"/>
      <c r="F60" s="117" t="str">
        <f t="shared" si="2"/>
        <v/>
      </c>
    </row>
    <row r="61" spans="1:6" x14ac:dyDescent="0.35">
      <c r="A61" s="112"/>
      <c r="B61" s="115"/>
      <c r="C61" s="88"/>
      <c r="D61" s="112"/>
      <c r="E61" s="116"/>
      <c r="F61" s="117" t="str">
        <f t="shared" si="2"/>
        <v/>
      </c>
    </row>
    <row r="62" spans="1:6" x14ac:dyDescent="0.35">
      <c r="A62" s="112"/>
      <c r="B62" s="118"/>
      <c r="C62" s="88"/>
      <c r="D62" s="112"/>
      <c r="E62" s="116"/>
      <c r="F62" s="117"/>
    </row>
    <row r="63" spans="1:6" x14ac:dyDescent="0.35">
      <c r="A63" s="38"/>
      <c r="B63" s="6"/>
      <c r="C63" s="6"/>
      <c r="D63" s="23"/>
      <c r="E63" s="6"/>
      <c r="F63" s="31"/>
    </row>
    <row r="64" spans="1:6" x14ac:dyDescent="0.35">
      <c r="A64" s="39"/>
      <c r="B64" s="9"/>
      <c r="C64" s="9"/>
      <c r="D64" s="40" t="s">
        <v>27</v>
      </c>
      <c r="E64" s="40" t="s">
        <v>20</v>
      </c>
      <c r="F64" s="33">
        <f>SUM(F5:F61)</f>
        <v>8344</v>
      </c>
    </row>
    <row r="65" spans="1:6" x14ac:dyDescent="0.35">
      <c r="A65" s="41"/>
      <c r="B65" s="12"/>
      <c r="C65" s="12"/>
      <c r="D65" s="24"/>
      <c r="E65" s="12"/>
      <c r="F65" s="34"/>
    </row>
    <row r="66" spans="1:6" x14ac:dyDescent="0.35">
      <c r="A66" s="25"/>
      <c r="B66" s="27"/>
      <c r="C66" s="18"/>
      <c r="D66" s="25"/>
      <c r="E66" s="17"/>
      <c r="F66" s="30"/>
    </row>
    <row r="67" spans="1:6" x14ac:dyDescent="0.35">
      <c r="A67" s="112"/>
      <c r="B67" s="331"/>
      <c r="C67" s="112"/>
      <c r="D67" s="112"/>
      <c r="E67" s="113"/>
      <c r="F67" s="114"/>
    </row>
    <row r="68" spans="1:6" x14ac:dyDescent="0.35">
      <c r="A68" s="112"/>
      <c r="B68" s="112"/>
      <c r="C68" s="112"/>
      <c r="D68" s="112"/>
      <c r="E68" s="113"/>
      <c r="F68" s="114"/>
    </row>
    <row r="69" spans="1:6" x14ac:dyDescent="0.45">
      <c r="A69" s="119"/>
      <c r="B69" s="2"/>
      <c r="C69" s="18"/>
      <c r="D69" s="276"/>
      <c r="E69" s="208"/>
      <c r="F69" s="117" t="str">
        <f t="shared" ref="F69:F72" si="3">IF(C69="","",(C69*E69))</f>
        <v/>
      </c>
    </row>
    <row r="70" spans="1:6" x14ac:dyDescent="0.35">
      <c r="A70" s="119"/>
      <c r="B70" s="115"/>
      <c r="C70" s="89"/>
      <c r="D70" s="112"/>
      <c r="E70" s="116"/>
      <c r="F70" s="117" t="str">
        <f t="shared" si="3"/>
        <v/>
      </c>
    </row>
    <row r="71" spans="1:6" x14ac:dyDescent="0.45">
      <c r="A71" s="119"/>
      <c r="B71" s="2"/>
      <c r="C71" s="135"/>
      <c r="D71" s="276"/>
      <c r="E71" s="208"/>
      <c r="F71" s="117" t="str">
        <f t="shared" si="3"/>
        <v/>
      </c>
    </row>
    <row r="72" spans="1:6" x14ac:dyDescent="0.35">
      <c r="A72" s="119"/>
      <c r="B72" s="115"/>
      <c r="C72" s="89"/>
      <c r="D72" s="112"/>
      <c r="E72" s="116"/>
      <c r="F72" s="117" t="str">
        <f t="shared" si="3"/>
        <v/>
      </c>
    </row>
    <row r="73" spans="1:6" x14ac:dyDescent="0.45">
      <c r="A73" s="119"/>
      <c r="B73" s="115"/>
      <c r="C73" s="135"/>
      <c r="D73" s="112"/>
      <c r="E73" s="116"/>
      <c r="F73" s="117" t="str">
        <f>IF(C73="","",(C73*E73))</f>
        <v/>
      </c>
    </row>
    <row r="74" spans="1:6" x14ac:dyDescent="0.35">
      <c r="A74" s="119"/>
      <c r="B74" s="115"/>
      <c r="C74" s="88"/>
      <c r="D74" s="112"/>
      <c r="E74" s="116"/>
      <c r="F74" s="117"/>
    </row>
    <row r="75" spans="1:6" x14ac:dyDescent="0.35">
      <c r="A75" s="119"/>
      <c r="B75" s="115"/>
      <c r="C75" s="88"/>
      <c r="D75" s="112"/>
      <c r="E75" s="116"/>
      <c r="F75" s="117"/>
    </row>
    <row r="76" spans="1:6" x14ac:dyDescent="0.35">
      <c r="A76" s="119"/>
      <c r="B76" s="115"/>
      <c r="C76" s="88"/>
      <c r="D76" s="112"/>
      <c r="E76" s="116"/>
      <c r="F76" s="117"/>
    </row>
    <row r="77" spans="1:6" x14ac:dyDescent="0.35">
      <c r="A77" s="119"/>
      <c r="B77" s="332"/>
      <c r="C77" s="333"/>
      <c r="D77" s="334"/>
      <c r="E77" s="335"/>
      <c r="F77" s="336"/>
    </row>
    <row r="78" spans="1:6" x14ac:dyDescent="0.35">
      <c r="A78" s="119"/>
      <c r="B78" s="115"/>
      <c r="C78" s="88"/>
      <c r="D78" s="112"/>
      <c r="E78" s="116"/>
      <c r="F78" s="117"/>
    </row>
    <row r="79" spans="1:6" x14ac:dyDescent="0.35">
      <c r="A79" s="119"/>
      <c r="B79" s="115"/>
      <c r="C79" s="88"/>
      <c r="D79" s="112"/>
      <c r="E79" s="116"/>
      <c r="F79" s="117"/>
    </row>
    <row r="80" spans="1:6" x14ac:dyDescent="0.35">
      <c r="A80" s="112"/>
      <c r="B80" s="115"/>
      <c r="C80" s="112"/>
      <c r="D80" s="112"/>
      <c r="E80" s="113"/>
      <c r="F80" s="114"/>
    </row>
    <row r="81" spans="1:6" x14ac:dyDescent="0.35">
      <c r="A81" s="112"/>
      <c r="B81" s="115"/>
      <c r="C81" s="88"/>
      <c r="D81" s="112"/>
      <c r="E81" s="116"/>
      <c r="F81" s="117" t="str">
        <f>IF(C81="","",(C81*E81))</f>
        <v/>
      </c>
    </row>
    <row r="82" spans="1:6" x14ac:dyDescent="0.35">
      <c r="A82" s="112"/>
      <c r="B82" s="115"/>
      <c r="C82" s="112"/>
      <c r="D82" s="112"/>
      <c r="E82" s="113"/>
      <c r="F82" s="114"/>
    </row>
    <row r="83" spans="1:6" x14ac:dyDescent="0.35">
      <c r="A83" s="112"/>
      <c r="B83" s="115"/>
      <c r="C83" s="88"/>
      <c r="D83" s="112"/>
      <c r="E83" s="116"/>
      <c r="F83" s="117" t="str">
        <f>IF(C83="","",(C83*E83))</f>
        <v/>
      </c>
    </row>
    <row r="84" spans="1:6" x14ac:dyDescent="0.35">
      <c r="A84" s="112"/>
      <c r="B84" s="115"/>
      <c r="C84" s="112"/>
      <c r="D84" s="112"/>
      <c r="E84" s="113"/>
      <c r="F84" s="114"/>
    </row>
    <row r="85" spans="1:6" x14ac:dyDescent="0.35">
      <c r="A85" s="112"/>
      <c r="B85" s="115"/>
      <c r="C85" s="88"/>
      <c r="D85" s="112"/>
      <c r="E85" s="116"/>
      <c r="F85" s="117" t="str">
        <f>IF(C85="","",(C85*E85))</f>
        <v/>
      </c>
    </row>
    <row r="86" spans="1:6" x14ac:dyDescent="0.35">
      <c r="A86" s="112"/>
      <c r="B86" s="115"/>
      <c r="C86" s="112"/>
      <c r="D86" s="112"/>
      <c r="E86" s="113"/>
      <c r="F86" s="114"/>
    </row>
    <row r="87" spans="1:6" x14ac:dyDescent="0.35">
      <c r="A87" s="112"/>
      <c r="B87" s="115"/>
      <c r="C87" s="88"/>
      <c r="D87" s="112"/>
      <c r="E87" s="116"/>
      <c r="F87" s="117" t="str">
        <f>IF(C87="","",(C87*E87))</f>
        <v/>
      </c>
    </row>
    <row r="88" spans="1:6" x14ac:dyDescent="0.35">
      <c r="A88" s="112"/>
      <c r="B88" s="115"/>
      <c r="C88" s="112"/>
      <c r="D88" s="112"/>
      <c r="E88" s="113"/>
      <c r="F88" s="114"/>
    </row>
    <row r="89" spans="1:6" x14ac:dyDescent="0.35">
      <c r="A89" s="112"/>
      <c r="B89" s="115"/>
      <c r="C89" s="88"/>
      <c r="D89" s="112"/>
      <c r="E89" s="116"/>
      <c r="F89" s="117" t="str">
        <f>IF(C89="","",(C89*E89))</f>
        <v/>
      </c>
    </row>
    <row r="90" spans="1:6" x14ac:dyDescent="0.35">
      <c r="A90" s="112"/>
      <c r="B90" s="115"/>
      <c r="C90" s="112"/>
      <c r="D90" s="112"/>
      <c r="E90" s="113"/>
      <c r="F90" s="114"/>
    </row>
    <row r="91" spans="1:6" x14ac:dyDescent="0.35">
      <c r="A91" s="112"/>
      <c r="B91" s="115"/>
      <c r="C91" s="88"/>
      <c r="D91" s="112"/>
      <c r="E91" s="116"/>
      <c r="F91" s="117" t="str">
        <f>IF(C91="","",(C91*E91))</f>
        <v/>
      </c>
    </row>
    <row r="92" spans="1:6" x14ac:dyDescent="0.35">
      <c r="A92" s="112"/>
      <c r="B92" s="115"/>
      <c r="C92" s="112"/>
      <c r="D92" s="112"/>
      <c r="E92" s="113"/>
      <c r="F92" s="114"/>
    </row>
    <row r="93" spans="1:6" x14ac:dyDescent="0.35">
      <c r="A93" s="112"/>
      <c r="B93" s="115"/>
      <c r="C93" s="88"/>
      <c r="D93" s="112"/>
      <c r="E93" s="116"/>
      <c r="F93" s="117" t="str">
        <f>IF(C93="","",(C93*E93))</f>
        <v/>
      </c>
    </row>
    <row r="94" spans="1:6" x14ac:dyDescent="0.35">
      <c r="A94" s="112"/>
      <c r="B94" s="115"/>
      <c r="C94" s="88"/>
      <c r="D94" s="112"/>
      <c r="E94" s="116"/>
      <c r="F94" s="117" t="str">
        <f t="shared" ref="F94:F122" si="4">IF(C94="","",(C94*E94))</f>
        <v/>
      </c>
    </row>
    <row r="95" spans="1:6" x14ac:dyDescent="0.35">
      <c r="A95" s="112"/>
      <c r="B95" s="115"/>
      <c r="C95" s="88"/>
      <c r="D95" s="112"/>
      <c r="E95" s="116"/>
      <c r="F95" s="117" t="str">
        <f t="shared" si="4"/>
        <v/>
      </c>
    </row>
    <row r="96" spans="1:6" x14ac:dyDescent="0.35">
      <c r="A96" s="112"/>
      <c r="B96" s="115"/>
      <c r="C96" s="112"/>
      <c r="D96" s="112"/>
      <c r="E96" s="113"/>
      <c r="F96" s="117" t="str">
        <f t="shared" si="4"/>
        <v/>
      </c>
    </row>
    <row r="97" spans="1:6" x14ac:dyDescent="0.35">
      <c r="A97" s="112"/>
      <c r="B97" s="115"/>
      <c r="C97" s="88"/>
      <c r="D97" s="112"/>
      <c r="E97" s="113"/>
      <c r="F97" s="117" t="str">
        <f t="shared" si="4"/>
        <v/>
      </c>
    </row>
    <row r="98" spans="1:6" x14ac:dyDescent="0.35">
      <c r="A98" s="112"/>
      <c r="B98" s="115"/>
      <c r="C98" s="112"/>
      <c r="D98" s="112"/>
      <c r="E98" s="113"/>
      <c r="F98" s="117" t="str">
        <f t="shared" si="4"/>
        <v/>
      </c>
    </row>
    <row r="99" spans="1:6" x14ac:dyDescent="0.35">
      <c r="A99" s="112"/>
      <c r="B99" s="115"/>
      <c r="C99" s="88"/>
      <c r="D99" s="112"/>
      <c r="E99" s="113"/>
      <c r="F99" s="117" t="str">
        <f t="shared" si="4"/>
        <v/>
      </c>
    </row>
    <row r="100" spans="1:6" x14ac:dyDescent="0.35">
      <c r="A100" s="112"/>
      <c r="B100" s="115"/>
      <c r="C100" s="112"/>
      <c r="D100" s="112"/>
      <c r="E100" s="113"/>
      <c r="F100" s="117" t="str">
        <f t="shared" si="4"/>
        <v/>
      </c>
    </row>
    <row r="101" spans="1:6" x14ac:dyDescent="0.35">
      <c r="A101" s="112"/>
      <c r="B101" s="115"/>
      <c r="C101" s="88"/>
      <c r="D101" s="112"/>
      <c r="E101" s="113"/>
      <c r="F101" s="117" t="str">
        <f t="shared" si="4"/>
        <v/>
      </c>
    </row>
    <row r="102" spans="1:6" x14ac:dyDescent="0.35">
      <c r="A102" s="112"/>
      <c r="B102" s="115"/>
      <c r="C102" s="88"/>
      <c r="D102" s="112"/>
      <c r="E102" s="113"/>
      <c r="F102" s="117" t="str">
        <f t="shared" si="4"/>
        <v/>
      </c>
    </row>
    <row r="103" spans="1:6" x14ac:dyDescent="0.35">
      <c r="A103" s="112"/>
      <c r="B103" s="115"/>
      <c r="C103" s="88"/>
      <c r="D103" s="112"/>
      <c r="E103" s="113"/>
      <c r="F103" s="117" t="str">
        <f t="shared" si="4"/>
        <v/>
      </c>
    </row>
    <row r="104" spans="1:6" x14ac:dyDescent="0.35">
      <c r="A104" s="112"/>
      <c r="B104" s="115"/>
      <c r="C104" s="112"/>
      <c r="D104" s="112"/>
      <c r="E104" s="113"/>
      <c r="F104" s="117" t="str">
        <f t="shared" si="4"/>
        <v/>
      </c>
    </row>
    <row r="105" spans="1:6" x14ac:dyDescent="0.35">
      <c r="A105" s="112"/>
      <c r="B105" s="115"/>
      <c r="C105" s="88"/>
      <c r="D105" s="112"/>
      <c r="E105" s="116"/>
      <c r="F105" s="117" t="str">
        <f t="shared" si="4"/>
        <v/>
      </c>
    </row>
    <row r="106" spans="1:6" x14ac:dyDescent="0.35">
      <c r="A106" s="112"/>
      <c r="B106" s="115"/>
      <c r="C106" s="88"/>
      <c r="D106" s="112"/>
      <c r="E106" s="116"/>
      <c r="F106" s="117" t="str">
        <f t="shared" si="4"/>
        <v/>
      </c>
    </row>
    <row r="107" spans="1:6" x14ac:dyDescent="0.35">
      <c r="A107" s="112"/>
      <c r="B107" s="115"/>
      <c r="C107" s="88"/>
      <c r="D107" s="112"/>
      <c r="E107" s="116"/>
      <c r="F107" s="117" t="str">
        <f t="shared" si="4"/>
        <v/>
      </c>
    </row>
    <row r="108" spans="1:6" x14ac:dyDescent="0.35">
      <c r="A108" s="112"/>
      <c r="B108" s="115"/>
      <c r="C108" s="112"/>
      <c r="D108" s="112"/>
      <c r="E108" s="113"/>
      <c r="F108" s="117" t="str">
        <f t="shared" si="4"/>
        <v/>
      </c>
    </row>
    <row r="109" spans="1:6" x14ac:dyDescent="0.35">
      <c r="A109" s="112"/>
      <c r="B109" s="115"/>
      <c r="C109" s="88"/>
      <c r="D109" s="112"/>
      <c r="E109" s="116"/>
      <c r="F109" s="117" t="str">
        <f t="shared" si="4"/>
        <v/>
      </c>
    </row>
    <row r="110" spans="1:6" x14ac:dyDescent="0.35">
      <c r="A110" s="112"/>
      <c r="B110" s="115"/>
      <c r="C110" s="88"/>
      <c r="D110" s="112"/>
      <c r="E110" s="116"/>
      <c r="F110" s="117" t="str">
        <f t="shared" si="4"/>
        <v/>
      </c>
    </row>
    <row r="111" spans="1:6" x14ac:dyDescent="0.35">
      <c r="A111" s="112"/>
      <c r="B111" s="115"/>
      <c r="C111" s="88"/>
      <c r="D111" s="112"/>
      <c r="E111" s="116"/>
      <c r="F111" s="117" t="str">
        <f t="shared" si="4"/>
        <v/>
      </c>
    </row>
    <row r="112" spans="1:6" x14ac:dyDescent="0.35">
      <c r="A112" s="112"/>
      <c r="B112" s="115"/>
      <c r="C112" s="88"/>
      <c r="D112" s="112"/>
      <c r="E112" s="116"/>
      <c r="F112" s="117" t="str">
        <f t="shared" si="4"/>
        <v/>
      </c>
    </row>
    <row r="113" spans="1:6" x14ac:dyDescent="0.35">
      <c r="A113" s="112"/>
      <c r="B113" s="115"/>
      <c r="C113" s="88"/>
      <c r="D113" s="112"/>
      <c r="E113" s="116"/>
      <c r="F113" s="117" t="str">
        <f t="shared" si="4"/>
        <v/>
      </c>
    </row>
    <row r="114" spans="1:6" x14ac:dyDescent="0.35">
      <c r="A114" s="112"/>
      <c r="B114" s="112"/>
      <c r="C114" s="112"/>
      <c r="D114" s="112"/>
      <c r="E114" s="113"/>
      <c r="F114" s="117" t="str">
        <f t="shared" si="4"/>
        <v/>
      </c>
    </row>
    <row r="115" spans="1:6" x14ac:dyDescent="0.35">
      <c r="A115" s="112"/>
      <c r="B115" s="115"/>
      <c r="C115" s="88"/>
      <c r="D115" s="112"/>
      <c r="E115" s="116"/>
      <c r="F115" s="117" t="str">
        <f t="shared" si="4"/>
        <v/>
      </c>
    </row>
    <row r="116" spans="1:6" x14ac:dyDescent="0.35">
      <c r="A116" s="112"/>
      <c r="B116" s="115"/>
      <c r="C116" s="88"/>
      <c r="D116" s="112"/>
      <c r="E116" s="116"/>
      <c r="F116" s="117" t="str">
        <f t="shared" si="4"/>
        <v/>
      </c>
    </row>
    <row r="117" spans="1:6" x14ac:dyDescent="0.35">
      <c r="A117" s="112"/>
      <c r="B117" s="115"/>
      <c r="C117" s="88"/>
      <c r="D117" s="112"/>
      <c r="E117" s="116"/>
      <c r="F117" s="117" t="str">
        <f t="shared" si="4"/>
        <v/>
      </c>
    </row>
    <row r="118" spans="1:6" x14ac:dyDescent="0.35">
      <c r="A118" s="112"/>
      <c r="B118" s="115"/>
      <c r="C118" s="88"/>
      <c r="D118" s="112"/>
      <c r="E118" s="116"/>
      <c r="F118" s="117" t="str">
        <f t="shared" si="4"/>
        <v/>
      </c>
    </row>
    <row r="119" spans="1:6" x14ac:dyDescent="0.35">
      <c r="A119" s="112"/>
      <c r="B119" s="115"/>
      <c r="C119" s="88"/>
      <c r="D119" s="112"/>
      <c r="E119" s="116"/>
      <c r="F119" s="117" t="str">
        <f t="shared" si="4"/>
        <v/>
      </c>
    </row>
    <row r="120" spans="1:6" x14ac:dyDescent="0.35">
      <c r="A120" s="112"/>
      <c r="B120" s="115"/>
      <c r="C120" s="88"/>
      <c r="D120" s="112"/>
      <c r="E120" s="116"/>
      <c r="F120" s="117" t="str">
        <f t="shared" si="4"/>
        <v/>
      </c>
    </row>
    <row r="121" spans="1:6" x14ac:dyDescent="0.35">
      <c r="A121" s="112"/>
      <c r="B121" s="115"/>
      <c r="C121" s="88"/>
      <c r="D121" s="112"/>
      <c r="E121" s="116"/>
      <c r="F121" s="117" t="str">
        <f t="shared" si="4"/>
        <v/>
      </c>
    </row>
    <row r="122" spans="1:6" x14ac:dyDescent="0.35">
      <c r="A122" s="112"/>
      <c r="B122" s="115"/>
      <c r="C122" s="88"/>
      <c r="D122" s="112"/>
      <c r="E122" s="116"/>
      <c r="F122" s="117" t="str">
        <f t="shared" si="4"/>
        <v/>
      </c>
    </row>
    <row r="123" spans="1:6" x14ac:dyDescent="0.35">
      <c r="A123" s="112"/>
      <c r="B123" s="118"/>
      <c r="C123" s="88"/>
      <c r="D123" s="112"/>
      <c r="E123" s="116"/>
      <c r="F123" s="117"/>
    </row>
    <row r="124" spans="1:6" x14ac:dyDescent="0.35">
      <c r="A124" s="38"/>
      <c r="B124" s="6"/>
      <c r="C124" s="6"/>
      <c r="D124" s="23"/>
      <c r="E124" s="6"/>
      <c r="F124" s="31"/>
    </row>
    <row r="125" spans="1:6" x14ac:dyDescent="0.35">
      <c r="A125" s="39"/>
      <c r="B125" s="9"/>
      <c r="C125" s="9"/>
      <c r="D125" s="40" t="s">
        <v>27</v>
      </c>
      <c r="E125" s="40" t="s">
        <v>20</v>
      </c>
      <c r="F125" s="33">
        <f>SUM(F66:F115)</f>
        <v>0</v>
      </c>
    </row>
    <row r="126" spans="1:6" x14ac:dyDescent="0.35">
      <c r="A126" s="41"/>
      <c r="B126" s="12"/>
      <c r="C126" s="12"/>
      <c r="D126" s="24"/>
      <c r="E126" s="12"/>
      <c r="F126" s="34"/>
    </row>
  </sheetData>
  <pageMargins left="0.55118110236220474" right="0.19685039370078741" top="0.35433070866141736" bottom="0.55118110236220474" header="0.19685039370078741" footer="0.39370078740157483"/>
  <pageSetup paperSize="9" scale="67" orientation="portrait" r:id="rId1"/>
  <headerFooter alignWithMargins="0">
    <oddFooter>&amp;C&amp;"Times New Roman,Regular"Page 8/&amp;P</oddFooter>
  </headerFooter>
  <rowBreaks count="1" manualBreakCount="1">
    <brk id="6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74C0-C7AB-4FC4-8BB5-C7FBA89F6609}">
  <dimension ref="A1:L126"/>
  <sheetViews>
    <sheetView tabSelected="1" view="pageBreakPreview" zoomScaleNormal="100" zoomScaleSheetLayoutView="100" workbookViewId="0">
      <selection activeCell="E15" sqref="E15"/>
    </sheetView>
  </sheetViews>
  <sheetFormatPr defaultColWidth="9.1328125" defaultRowHeight="15.4" x14ac:dyDescent="0.35"/>
  <cols>
    <col min="1" max="1" width="4.796875" style="100" customWidth="1"/>
    <col min="2" max="2" width="50.796875" style="100" customWidth="1"/>
    <col min="3" max="3" width="10.53125" style="100" customWidth="1"/>
    <col min="4" max="4" width="6.796875" style="120" customWidth="1"/>
    <col min="5" max="5" width="14.796875" style="100" customWidth="1"/>
    <col min="6" max="6" width="16.796875" style="121" customWidth="1"/>
    <col min="7" max="7" width="36.46484375" style="100" customWidth="1"/>
    <col min="8" max="10" width="0" style="100" hidden="1" customWidth="1"/>
    <col min="11" max="11" width="14.33203125" style="100" hidden="1" customWidth="1"/>
    <col min="12" max="13" width="0" style="100" hidden="1" customWidth="1"/>
    <col min="14" max="16384" width="9.1328125" style="100"/>
  </cols>
  <sheetData>
    <row r="1" spans="1:12" x14ac:dyDescent="0.35">
      <c r="A1" s="96"/>
      <c r="B1" s="97"/>
      <c r="C1" s="96"/>
      <c r="D1" s="98" t="s">
        <v>32</v>
      </c>
      <c r="E1" s="97"/>
      <c r="F1" s="99"/>
    </row>
    <row r="2" spans="1:12" x14ac:dyDescent="0.35">
      <c r="A2" s="101" t="str">
        <f>'02 Plot Groundworks'!A2</f>
        <v>The Former Police Station, Haslingden</v>
      </c>
      <c r="B2" s="102"/>
      <c r="C2" s="101"/>
      <c r="D2" s="103" t="s">
        <v>487</v>
      </c>
      <c r="E2" s="102"/>
      <c r="F2" s="104" t="s">
        <v>522</v>
      </c>
    </row>
    <row r="3" spans="1:12" x14ac:dyDescent="0.35">
      <c r="A3" s="105"/>
      <c r="B3" s="106"/>
      <c r="C3" s="105"/>
      <c r="D3" s="107" t="s">
        <v>32</v>
      </c>
      <c r="E3" s="106"/>
      <c r="F3" s="108"/>
    </row>
    <row r="4" spans="1:12" x14ac:dyDescent="0.35">
      <c r="A4" s="109"/>
      <c r="B4" s="110" t="s">
        <v>22</v>
      </c>
      <c r="C4" s="110" t="s">
        <v>26</v>
      </c>
      <c r="D4" s="110" t="s">
        <v>23</v>
      </c>
      <c r="E4" s="110" t="s">
        <v>24</v>
      </c>
      <c r="F4" s="111" t="s">
        <v>25</v>
      </c>
      <c r="G4" s="178" t="s">
        <v>118</v>
      </c>
    </row>
    <row r="5" spans="1:12" x14ac:dyDescent="0.35">
      <c r="A5" s="112"/>
      <c r="B5" s="113"/>
      <c r="C5" s="113"/>
      <c r="D5" s="113"/>
      <c r="E5" s="113"/>
      <c r="F5" s="114"/>
    </row>
    <row r="6" spans="1:12" x14ac:dyDescent="0.35">
      <c r="A6" s="112"/>
      <c r="B6" s="124" t="s">
        <v>480</v>
      </c>
      <c r="C6" s="112"/>
      <c r="D6" s="112"/>
      <c r="E6" s="113"/>
      <c r="F6" s="114"/>
    </row>
    <row r="7" spans="1:12" x14ac:dyDescent="0.35">
      <c r="A7" s="112"/>
      <c r="B7" s="112"/>
      <c r="C7" s="112"/>
      <c r="D7" s="112"/>
      <c r="E7" s="113"/>
      <c r="F7" s="114"/>
    </row>
    <row r="8" spans="1:12" ht="30.75" x14ac:dyDescent="0.45">
      <c r="A8" s="119" t="s">
        <v>9</v>
      </c>
      <c r="B8" s="2" t="s">
        <v>481</v>
      </c>
      <c r="C8" s="135">
        <v>33</v>
      </c>
      <c r="D8" s="276" t="s">
        <v>30</v>
      </c>
      <c r="E8" s="277">
        <v>314</v>
      </c>
      <c r="F8" s="275">
        <f t="shared" ref="F8:F19" si="0">IF(C8="","",(C8*E8))</f>
        <v>10362</v>
      </c>
    </row>
    <row r="9" spans="1:12" x14ac:dyDescent="0.35">
      <c r="A9" s="119"/>
      <c r="B9" s="115"/>
      <c r="C9" s="89"/>
      <c r="D9" s="112"/>
      <c r="E9" s="116"/>
      <c r="F9" s="117" t="str">
        <f t="shared" si="0"/>
        <v/>
      </c>
    </row>
    <row r="10" spans="1:12" x14ac:dyDescent="0.45">
      <c r="A10" s="119" t="s">
        <v>10</v>
      </c>
      <c r="B10" s="2" t="s">
        <v>488</v>
      </c>
      <c r="C10" s="135">
        <v>58</v>
      </c>
      <c r="D10" s="276" t="s">
        <v>30</v>
      </c>
      <c r="E10" s="277">
        <v>264</v>
      </c>
      <c r="F10" s="117">
        <f t="shared" si="0"/>
        <v>15312</v>
      </c>
      <c r="H10" s="100" t="s">
        <v>20</v>
      </c>
      <c r="I10" s="100">
        <v>60</v>
      </c>
      <c r="J10" s="100" t="s">
        <v>491</v>
      </c>
      <c r="K10" s="100" t="s">
        <v>492</v>
      </c>
      <c r="L10" s="100">
        <f>I10*2</f>
        <v>120</v>
      </c>
    </row>
    <row r="11" spans="1:12" x14ac:dyDescent="0.35">
      <c r="A11" s="119"/>
      <c r="B11" s="115"/>
      <c r="C11" s="89"/>
      <c r="D11" s="112"/>
      <c r="E11" s="116"/>
      <c r="F11" s="117" t="str">
        <f t="shared" si="0"/>
        <v/>
      </c>
      <c r="H11" s="100" t="s">
        <v>20</v>
      </c>
      <c r="I11" s="100">
        <v>41</v>
      </c>
      <c r="J11" s="100" t="s">
        <v>491</v>
      </c>
      <c r="K11" s="100" t="s">
        <v>493</v>
      </c>
      <c r="L11" s="100">
        <f>I11*2</f>
        <v>82</v>
      </c>
    </row>
    <row r="12" spans="1:12" x14ac:dyDescent="0.35">
      <c r="A12" s="119"/>
      <c r="B12" s="124" t="s">
        <v>483</v>
      </c>
      <c r="C12" s="88"/>
      <c r="D12" s="112"/>
      <c r="E12" s="116"/>
      <c r="F12" s="117" t="str">
        <f t="shared" si="0"/>
        <v/>
      </c>
      <c r="H12" s="100" t="s">
        <v>20</v>
      </c>
      <c r="I12" s="100">
        <v>6</v>
      </c>
      <c r="J12" s="100" t="s">
        <v>491</v>
      </c>
      <c r="K12" s="100" t="s">
        <v>494</v>
      </c>
      <c r="L12" s="100">
        <f>I12*2</f>
        <v>12</v>
      </c>
    </row>
    <row r="13" spans="1:12" x14ac:dyDescent="0.35">
      <c r="A13" s="119"/>
      <c r="B13" s="115"/>
      <c r="C13" s="88"/>
      <c r="D13" s="112"/>
      <c r="E13" s="116"/>
      <c r="F13" s="117" t="str">
        <f t="shared" si="0"/>
        <v/>
      </c>
      <c r="H13" s="100" t="s">
        <v>20</v>
      </c>
      <c r="I13" s="100">
        <v>3</v>
      </c>
      <c r="J13" s="100" t="s">
        <v>491</v>
      </c>
      <c r="K13" s="100" t="s">
        <v>495</v>
      </c>
      <c r="L13" s="100">
        <f>I13*2</f>
        <v>6</v>
      </c>
    </row>
    <row r="14" spans="1:12" x14ac:dyDescent="0.35">
      <c r="A14" s="119" t="s">
        <v>11</v>
      </c>
      <c r="B14" s="115" t="s">
        <v>482</v>
      </c>
      <c r="C14" s="88">
        <v>168</v>
      </c>
      <c r="D14" s="112" t="s">
        <v>30</v>
      </c>
      <c r="E14" s="116">
        <v>65</v>
      </c>
      <c r="F14" s="117">
        <f t="shared" si="0"/>
        <v>10920</v>
      </c>
    </row>
    <row r="15" spans="1:12" x14ac:dyDescent="0.35">
      <c r="A15" s="119"/>
      <c r="B15" s="115"/>
      <c r="C15" s="88"/>
      <c r="D15" s="112"/>
      <c r="E15" s="116"/>
      <c r="F15" s="117" t="str">
        <f t="shared" si="0"/>
        <v/>
      </c>
      <c r="L15" s="100">
        <f>SUM(L10:L14)</f>
        <v>220</v>
      </c>
    </row>
    <row r="16" spans="1:12" x14ac:dyDescent="0.35">
      <c r="A16" s="119"/>
      <c r="B16" s="124" t="s">
        <v>484</v>
      </c>
      <c r="C16" s="88"/>
      <c r="D16" s="112"/>
      <c r="E16" s="116"/>
      <c r="F16" s="117" t="str">
        <f t="shared" si="0"/>
        <v/>
      </c>
      <c r="L16" s="100">
        <v>1.2</v>
      </c>
    </row>
    <row r="17" spans="1:12" x14ac:dyDescent="0.35">
      <c r="A17" s="119"/>
      <c r="B17" s="115"/>
      <c r="C17" s="88"/>
      <c r="D17" s="112"/>
      <c r="E17" s="116"/>
      <c r="F17" s="117" t="str">
        <f t="shared" si="0"/>
        <v/>
      </c>
      <c r="L17" s="100">
        <f>L15*L16</f>
        <v>264</v>
      </c>
    </row>
    <row r="18" spans="1:12" x14ac:dyDescent="0.35">
      <c r="A18" s="119" t="s">
        <v>12</v>
      </c>
      <c r="B18" s="115" t="s">
        <v>485</v>
      </c>
      <c r="C18" s="88">
        <v>8</v>
      </c>
      <c r="D18" s="112" t="s">
        <v>137</v>
      </c>
      <c r="E18" s="116">
        <v>200</v>
      </c>
      <c r="F18" s="117">
        <f t="shared" si="0"/>
        <v>1600</v>
      </c>
      <c r="K18" s="100" t="s">
        <v>496</v>
      </c>
      <c r="L18" s="100">
        <v>50</v>
      </c>
    </row>
    <row r="19" spans="1:12" x14ac:dyDescent="0.35">
      <c r="A19" s="112"/>
      <c r="B19" s="115"/>
      <c r="C19" s="112"/>
      <c r="D19" s="112"/>
      <c r="E19" s="113"/>
      <c r="F19" s="117" t="str">
        <f t="shared" si="0"/>
        <v/>
      </c>
      <c r="L19" s="100">
        <f>L17+L18</f>
        <v>314</v>
      </c>
    </row>
    <row r="20" spans="1:12" x14ac:dyDescent="0.35">
      <c r="A20" s="112" t="s">
        <v>13</v>
      </c>
      <c r="B20" s="115" t="s">
        <v>486</v>
      </c>
      <c r="C20" s="88">
        <v>8</v>
      </c>
      <c r="D20" s="112" t="s">
        <v>137</v>
      </c>
      <c r="E20" s="116">
        <v>250</v>
      </c>
      <c r="F20" s="117">
        <f>IF(C20="","",(C20*E20))</f>
        <v>2000</v>
      </c>
    </row>
    <row r="21" spans="1:12" x14ac:dyDescent="0.35">
      <c r="A21" s="112"/>
      <c r="B21" s="115"/>
      <c r="C21" s="112"/>
      <c r="D21" s="112"/>
      <c r="E21" s="113"/>
      <c r="F21" s="114"/>
    </row>
    <row r="22" spans="1:12" x14ac:dyDescent="0.35">
      <c r="A22" s="112" t="s">
        <v>14</v>
      </c>
      <c r="B22" s="115" t="s">
        <v>489</v>
      </c>
      <c r="C22" s="88">
        <v>2</v>
      </c>
      <c r="D22" s="112" t="s">
        <v>137</v>
      </c>
      <c r="E22" s="116">
        <v>850</v>
      </c>
      <c r="F22" s="117">
        <f>IF(C22="","",(C22*E22))</f>
        <v>1700</v>
      </c>
      <c r="G22" s="100" t="s">
        <v>490</v>
      </c>
    </row>
    <row r="23" spans="1:12" x14ac:dyDescent="0.35">
      <c r="A23" s="112"/>
      <c r="B23" s="115"/>
      <c r="C23" s="112"/>
      <c r="D23" s="112"/>
      <c r="E23" s="113"/>
      <c r="F23" s="114"/>
    </row>
    <row r="24" spans="1:12" x14ac:dyDescent="0.35">
      <c r="A24" s="112"/>
      <c r="B24" s="115"/>
      <c r="C24" s="88"/>
      <c r="D24" s="112"/>
      <c r="E24" s="116"/>
      <c r="F24" s="117" t="str">
        <f>IF(C24="","",(C24*E24))</f>
        <v/>
      </c>
    </row>
    <row r="25" spans="1:12" x14ac:dyDescent="0.35">
      <c r="A25" s="112"/>
      <c r="B25" s="115"/>
      <c r="C25" s="112"/>
      <c r="D25" s="112"/>
      <c r="E25" s="113"/>
      <c r="F25" s="114"/>
    </row>
    <row r="26" spans="1:12" x14ac:dyDescent="0.35">
      <c r="A26" s="112"/>
      <c r="B26" s="115"/>
      <c r="C26" s="88"/>
      <c r="D26" s="112"/>
      <c r="E26" s="116"/>
      <c r="F26" s="117" t="str">
        <f>IF(C26="","",(C26*E26))</f>
        <v/>
      </c>
    </row>
    <row r="27" spans="1:12" x14ac:dyDescent="0.35">
      <c r="A27" s="112"/>
      <c r="B27" s="115"/>
      <c r="C27" s="112"/>
      <c r="D27" s="112"/>
      <c r="E27" s="113"/>
      <c r="F27" s="114"/>
    </row>
    <row r="28" spans="1:12" x14ac:dyDescent="0.35">
      <c r="A28" s="112"/>
      <c r="B28" s="115"/>
      <c r="C28" s="88"/>
      <c r="D28" s="112"/>
      <c r="E28" s="116"/>
      <c r="F28" s="117" t="str">
        <f>IF(C28="","",(C28*E28))</f>
        <v/>
      </c>
    </row>
    <row r="29" spans="1:12" x14ac:dyDescent="0.35">
      <c r="A29" s="112"/>
      <c r="B29" s="115"/>
      <c r="C29" s="112"/>
      <c r="D29" s="112"/>
      <c r="E29" s="113"/>
      <c r="F29" s="114"/>
    </row>
    <row r="30" spans="1:12" x14ac:dyDescent="0.35">
      <c r="A30" s="112"/>
      <c r="B30" s="115"/>
      <c r="C30" s="88"/>
      <c r="D30" s="112"/>
      <c r="E30" s="116"/>
      <c r="F30" s="117" t="str">
        <f>IF(C30="","",(C30*E30))</f>
        <v/>
      </c>
    </row>
    <row r="31" spans="1:12" x14ac:dyDescent="0.35">
      <c r="A31" s="112"/>
      <c r="B31" s="115"/>
      <c r="C31" s="112"/>
      <c r="D31" s="112"/>
      <c r="E31" s="113"/>
      <c r="F31" s="114"/>
    </row>
    <row r="32" spans="1:12" x14ac:dyDescent="0.35">
      <c r="A32" s="112"/>
      <c r="B32" s="115"/>
      <c r="C32" s="88"/>
      <c r="D32" s="112"/>
      <c r="E32" s="116"/>
      <c r="F32" s="117" t="str">
        <f>IF(C32="","",(C32*E32))</f>
        <v/>
      </c>
    </row>
    <row r="33" spans="1:6" x14ac:dyDescent="0.35">
      <c r="A33" s="112"/>
      <c r="B33" s="115"/>
      <c r="C33" s="88"/>
      <c r="D33" s="112"/>
      <c r="E33" s="116"/>
      <c r="F33" s="117" t="str">
        <f t="shared" ref="F33:F61" si="1">IF(C33="","",(C33*E33))</f>
        <v/>
      </c>
    </row>
    <row r="34" spans="1:6" x14ac:dyDescent="0.35">
      <c r="A34" s="112"/>
      <c r="B34" s="115"/>
      <c r="C34" s="88"/>
      <c r="D34" s="112"/>
      <c r="E34" s="116"/>
      <c r="F34" s="117" t="str">
        <f t="shared" si="1"/>
        <v/>
      </c>
    </row>
    <row r="35" spans="1:6" x14ac:dyDescent="0.35">
      <c r="A35" s="112"/>
      <c r="B35" s="115"/>
      <c r="C35" s="112"/>
      <c r="D35" s="112"/>
      <c r="E35" s="113"/>
      <c r="F35" s="117" t="str">
        <f t="shared" si="1"/>
        <v/>
      </c>
    </row>
    <row r="36" spans="1:6" x14ac:dyDescent="0.35">
      <c r="A36" s="112"/>
      <c r="B36" s="115"/>
      <c r="C36" s="88"/>
      <c r="D36" s="112"/>
      <c r="E36" s="113"/>
      <c r="F36" s="117" t="str">
        <f t="shared" si="1"/>
        <v/>
      </c>
    </row>
    <row r="37" spans="1:6" x14ac:dyDescent="0.35">
      <c r="A37" s="112"/>
      <c r="B37" s="115"/>
      <c r="C37" s="112"/>
      <c r="D37" s="112"/>
      <c r="E37" s="113"/>
      <c r="F37" s="117" t="str">
        <f t="shared" si="1"/>
        <v/>
      </c>
    </row>
    <row r="38" spans="1:6" x14ac:dyDescent="0.35">
      <c r="A38" s="112"/>
      <c r="B38" s="115"/>
      <c r="C38" s="88"/>
      <c r="D38" s="112"/>
      <c r="E38" s="113"/>
      <c r="F38" s="117" t="str">
        <f t="shared" si="1"/>
        <v/>
      </c>
    </row>
    <row r="39" spans="1:6" x14ac:dyDescent="0.35">
      <c r="A39" s="112"/>
      <c r="B39" s="115"/>
      <c r="C39" s="112"/>
      <c r="D39" s="112"/>
      <c r="E39" s="113"/>
      <c r="F39" s="117" t="str">
        <f t="shared" si="1"/>
        <v/>
      </c>
    </row>
    <row r="40" spans="1:6" x14ac:dyDescent="0.35">
      <c r="A40" s="112"/>
      <c r="B40" s="115"/>
      <c r="C40" s="88"/>
      <c r="D40" s="112"/>
      <c r="E40" s="113"/>
      <c r="F40" s="117" t="str">
        <f t="shared" si="1"/>
        <v/>
      </c>
    </row>
    <row r="41" spans="1:6" x14ac:dyDescent="0.35">
      <c r="A41" s="112"/>
      <c r="B41" s="115"/>
      <c r="C41" s="88"/>
      <c r="D41" s="112"/>
      <c r="E41" s="113"/>
      <c r="F41" s="117" t="str">
        <f t="shared" si="1"/>
        <v/>
      </c>
    </row>
    <row r="42" spans="1:6" x14ac:dyDescent="0.35">
      <c r="A42" s="112"/>
      <c r="B42" s="115"/>
      <c r="C42" s="88"/>
      <c r="D42" s="112"/>
      <c r="E42" s="113"/>
      <c r="F42" s="117" t="str">
        <f t="shared" si="1"/>
        <v/>
      </c>
    </row>
    <row r="43" spans="1:6" x14ac:dyDescent="0.35">
      <c r="A43" s="112"/>
      <c r="B43" s="115"/>
      <c r="C43" s="112"/>
      <c r="D43" s="112"/>
      <c r="E43" s="113"/>
      <c r="F43" s="117" t="str">
        <f t="shared" si="1"/>
        <v/>
      </c>
    </row>
    <row r="44" spans="1:6" x14ac:dyDescent="0.35">
      <c r="A44" s="112"/>
      <c r="B44" s="115"/>
      <c r="C44" s="88"/>
      <c r="D44" s="112"/>
      <c r="E44" s="116"/>
      <c r="F44" s="117" t="str">
        <f t="shared" si="1"/>
        <v/>
      </c>
    </row>
    <row r="45" spans="1:6" x14ac:dyDescent="0.35">
      <c r="A45" s="112"/>
      <c r="B45" s="115"/>
      <c r="C45" s="88"/>
      <c r="D45" s="112"/>
      <c r="E45" s="116"/>
      <c r="F45" s="117" t="str">
        <f t="shared" si="1"/>
        <v/>
      </c>
    </row>
    <row r="46" spans="1:6" x14ac:dyDescent="0.35">
      <c r="A46" s="112"/>
      <c r="B46" s="115"/>
      <c r="C46" s="88"/>
      <c r="D46" s="112"/>
      <c r="E46" s="116"/>
      <c r="F46" s="117" t="str">
        <f t="shared" si="1"/>
        <v/>
      </c>
    </row>
    <row r="47" spans="1:6" x14ac:dyDescent="0.35">
      <c r="A47" s="112"/>
      <c r="B47" s="115"/>
      <c r="C47" s="112"/>
      <c r="D47" s="112"/>
      <c r="E47" s="113"/>
      <c r="F47" s="117" t="str">
        <f t="shared" si="1"/>
        <v/>
      </c>
    </row>
    <row r="48" spans="1:6" x14ac:dyDescent="0.35">
      <c r="A48" s="112"/>
      <c r="B48" s="115"/>
      <c r="C48" s="88"/>
      <c r="D48" s="112"/>
      <c r="E48" s="116"/>
      <c r="F48" s="117" t="str">
        <f t="shared" si="1"/>
        <v/>
      </c>
    </row>
    <row r="49" spans="1:6" x14ac:dyDescent="0.35">
      <c r="A49" s="112"/>
      <c r="B49" s="115"/>
      <c r="C49" s="88"/>
      <c r="D49" s="112"/>
      <c r="E49" s="116"/>
      <c r="F49" s="117" t="str">
        <f t="shared" si="1"/>
        <v/>
      </c>
    </row>
    <row r="50" spans="1:6" x14ac:dyDescent="0.35">
      <c r="A50" s="112"/>
      <c r="B50" s="115"/>
      <c r="C50" s="88"/>
      <c r="D50" s="112"/>
      <c r="E50" s="116"/>
      <c r="F50" s="117" t="str">
        <f t="shared" si="1"/>
        <v/>
      </c>
    </row>
    <row r="51" spans="1:6" x14ac:dyDescent="0.35">
      <c r="A51" s="112"/>
      <c r="B51" s="115"/>
      <c r="C51" s="88"/>
      <c r="D51" s="112"/>
      <c r="E51" s="116"/>
      <c r="F51" s="117" t="str">
        <f t="shared" si="1"/>
        <v/>
      </c>
    </row>
    <row r="52" spans="1:6" x14ac:dyDescent="0.35">
      <c r="A52" s="112"/>
      <c r="B52" s="115"/>
      <c r="C52" s="88"/>
      <c r="D52" s="112"/>
      <c r="E52" s="116"/>
      <c r="F52" s="117" t="str">
        <f t="shared" si="1"/>
        <v/>
      </c>
    </row>
    <row r="53" spans="1:6" x14ac:dyDescent="0.35">
      <c r="A53" s="112"/>
      <c r="B53" s="112"/>
      <c r="C53" s="112"/>
      <c r="D53" s="112"/>
      <c r="E53" s="113"/>
      <c r="F53" s="117" t="str">
        <f t="shared" si="1"/>
        <v/>
      </c>
    </row>
    <row r="54" spans="1:6" x14ac:dyDescent="0.35">
      <c r="A54" s="112"/>
      <c r="B54" s="115"/>
      <c r="C54" s="88"/>
      <c r="D54" s="112"/>
      <c r="E54" s="116"/>
      <c r="F54" s="117" t="str">
        <f t="shared" si="1"/>
        <v/>
      </c>
    </row>
    <row r="55" spans="1:6" x14ac:dyDescent="0.35">
      <c r="A55" s="112"/>
      <c r="B55" s="115"/>
      <c r="C55" s="88"/>
      <c r="D55" s="112"/>
      <c r="E55" s="116"/>
      <c r="F55" s="117" t="str">
        <f t="shared" si="1"/>
        <v/>
      </c>
    </row>
    <row r="56" spans="1:6" x14ac:dyDescent="0.35">
      <c r="A56" s="112"/>
      <c r="B56" s="115"/>
      <c r="C56" s="88"/>
      <c r="D56" s="112"/>
      <c r="E56" s="116"/>
      <c r="F56" s="117" t="str">
        <f t="shared" si="1"/>
        <v/>
      </c>
    </row>
    <row r="57" spans="1:6" x14ac:dyDescent="0.35">
      <c r="A57" s="112"/>
      <c r="B57" s="115"/>
      <c r="C57" s="88"/>
      <c r="D57" s="112"/>
      <c r="E57" s="116"/>
      <c r="F57" s="117" t="str">
        <f t="shared" si="1"/>
        <v/>
      </c>
    </row>
    <row r="58" spans="1:6" x14ac:dyDescent="0.35">
      <c r="A58" s="112"/>
      <c r="B58" s="115"/>
      <c r="C58" s="88"/>
      <c r="D58" s="112"/>
      <c r="E58" s="116"/>
      <c r="F58" s="117" t="str">
        <f t="shared" si="1"/>
        <v/>
      </c>
    </row>
    <row r="59" spans="1:6" x14ac:dyDescent="0.35">
      <c r="A59" s="112"/>
      <c r="B59" s="115"/>
      <c r="C59" s="88"/>
      <c r="D59" s="112"/>
      <c r="E59" s="116"/>
      <c r="F59" s="117" t="str">
        <f t="shared" si="1"/>
        <v/>
      </c>
    </row>
    <row r="60" spans="1:6" x14ac:dyDescent="0.35">
      <c r="A60" s="112"/>
      <c r="B60" s="115"/>
      <c r="C60" s="88"/>
      <c r="D60" s="112"/>
      <c r="E60" s="116"/>
      <c r="F60" s="117" t="str">
        <f t="shared" si="1"/>
        <v/>
      </c>
    </row>
    <row r="61" spans="1:6" x14ac:dyDescent="0.35">
      <c r="A61" s="112"/>
      <c r="B61" s="115"/>
      <c r="C61" s="88"/>
      <c r="D61" s="112"/>
      <c r="E61" s="116"/>
      <c r="F61" s="117" t="str">
        <f t="shared" si="1"/>
        <v/>
      </c>
    </row>
    <row r="62" spans="1:6" x14ac:dyDescent="0.35">
      <c r="A62" s="112"/>
      <c r="B62" s="118"/>
      <c r="C62" s="88"/>
      <c r="D62" s="112"/>
      <c r="E62" s="116"/>
      <c r="F62" s="117"/>
    </row>
    <row r="63" spans="1:6" x14ac:dyDescent="0.35">
      <c r="A63" s="38"/>
      <c r="B63" s="6"/>
      <c r="C63" s="6"/>
      <c r="D63" s="23"/>
      <c r="E63" s="6"/>
      <c r="F63" s="31"/>
    </row>
    <row r="64" spans="1:6" x14ac:dyDescent="0.35">
      <c r="A64" s="39"/>
      <c r="B64" s="9"/>
      <c r="C64" s="9"/>
      <c r="D64" s="40" t="s">
        <v>27</v>
      </c>
      <c r="E64" s="40" t="s">
        <v>20</v>
      </c>
      <c r="F64" s="33">
        <f>SUM(F5:F61)</f>
        <v>41894</v>
      </c>
    </row>
    <row r="65" spans="1:6" x14ac:dyDescent="0.35">
      <c r="A65" s="41"/>
      <c r="B65" s="12"/>
      <c r="C65" s="12"/>
      <c r="D65" s="24"/>
      <c r="E65" s="12"/>
      <c r="F65" s="34"/>
    </row>
    <row r="66" spans="1:6" x14ac:dyDescent="0.35">
      <c r="A66" s="25"/>
      <c r="B66" s="27"/>
      <c r="C66" s="18"/>
      <c r="D66" s="25"/>
      <c r="E66" s="17"/>
      <c r="F66" s="30"/>
    </row>
    <row r="67" spans="1:6" x14ac:dyDescent="0.35">
      <c r="A67" s="112"/>
      <c r="B67" s="331"/>
      <c r="C67" s="112"/>
      <c r="D67" s="112"/>
      <c r="E67" s="113"/>
      <c r="F67" s="114"/>
    </row>
    <row r="68" spans="1:6" x14ac:dyDescent="0.35">
      <c r="A68" s="112"/>
      <c r="B68" s="112"/>
      <c r="C68" s="112"/>
      <c r="D68" s="112"/>
      <c r="E68" s="113"/>
      <c r="F68" s="114"/>
    </row>
    <row r="69" spans="1:6" x14ac:dyDescent="0.45">
      <c r="A69" s="119"/>
      <c r="B69" s="2"/>
      <c r="C69" s="18"/>
      <c r="D69" s="276"/>
      <c r="E69" s="208"/>
      <c r="F69" s="117" t="str">
        <f t="shared" ref="F69:F72" si="2">IF(C69="","",(C69*E69))</f>
        <v/>
      </c>
    </row>
    <row r="70" spans="1:6" x14ac:dyDescent="0.35">
      <c r="A70" s="119"/>
      <c r="B70" s="115"/>
      <c r="C70" s="89"/>
      <c r="D70" s="112"/>
      <c r="E70" s="116"/>
      <c r="F70" s="117" t="str">
        <f t="shared" si="2"/>
        <v/>
      </c>
    </row>
    <row r="71" spans="1:6" x14ac:dyDescent="0.45">
      <c r="A71" s="119"/>
      <c r="B71" s="2"/>
      <c r="C71" s="135"/>
      <c r="D71" s="276"/>
      <c r="E71" s="208"/>
      <c r="F71" s="117" t="str">
        <f t="shared" si="2"/>
        <v/>
      </c>
    </row>
    <row r="72" spans="1:6" x14ac:dyDescent="0.35">
      <c r="A72" s="119"/>
      <c r="B72" s="115"/>
      <c r="C72" s="89"/>
      <c r="D72" s="112"/>
      <c r="E72" s="116"/>
      <c r="F72" s="117" t="str">
        <f t="shared" si="2"/>
        <v/>
      </c>
    </row>
    <row r="73" spans="1:6" x14ac:dyDescent="0.45">
      <c r="A73" s="119"/>
      <c r="B73" s="115"/>
      <c r="C73" s="135"/>
      <c r="D73" s="112"/>
      <c r="E73" s="116"/>
      <c r="F73" s="117" t="str">
        <f>IF(C73="","",(C73*E73))</f>
        <v/>
      </c>
    </row>
    <row r="74" spans="1:6" x14ac:dyDescent="0.35">
      <c r="A74" s="119"/>
      <c r="B74" s="115"/>
      <c r="C74" s="88"/>
      <c r="D74" s="112"/>
      <c r="E74" s="116"/>
      <c r="F74" s="117"/>
    </row>
    <row r="75" spans="1:6" x14ac:dyDescent="0.35">
      <c r="A75" s="119"/>
      <c r="B75" s="115"/>
      <c r="C75" s="88"/>
      <c r="D75" s="112"/>
      <c r="E75" s="116"/>
      <c r="F75" s="117"/>
    </row>
    <row r="76" spans="1:6" x14ac:dyDescent="0.35">
      <c r="A76" s="119"/>
      <c r="B76" s="115"/>
      <c r="C76" s="88"/>
      <c r="D76" s="112"/>
      <c r="E76" s="116"/>
      <c r="F76" s="117"/>
    </row>
    <row r="77" spans="1:6" x14ac:dyDescent="0.35">
      <c r="A77" s="119"/>
      <c r="B77" s="332"/>
      <c r="C77" s="333"/>
      <c r="D77" s="334"/>
      <c r="E77" s="335"/>
      <c r="F77" s="336"/>
    </row>
    <row r="78" spans="1:6" x14ac:dyDescent="0.35">
      <c r="A78" s="119"/>
      <c r="B78" s="115"/>
      <c r="C78" s="88"/>
      <c r="D78" s="112"/>
      <c r="E78" s="116"/>
      <c r="F78" s="117"/>
    </row>
    <row r="79" spans="1:6" x14ac:dyDescent="0.35">
      <c r="A79" s="119"/>
      <c r="B79" s="115"/>
      <c r="C79" s="88"/>
      <c r="D79" s="112"/>
      <c r="E79" s="116"/>
      <c r="F79" s="117"/>
    </row>
    <row r="80" spans="1:6" x14ac:dyDescent="0.35">
      <c r="A80" s="112"/>
      <c r="B80" s="115"/>
      <c r="C80" s="112"/>
      <c r="D80" s="112"/>
      <c r="E80" s="113"/>
      <c r="F80" s="114"/>
    </row>
    <row r="81" spans="1:6" x14ac:dyDescent="0.35">
      <c r="A81" s="112"/>
      <c r="B81" s="115"/>
      <c r="C81" s="88"/>
      <c r="D81" s="112"/>
      <c r="E81" s="116"/>
      <c r="F81" s="117" t="str">
        <f>IF(C81="","",(C81*E81))</f>
        <v/>
      </c>
    </row>
    <row r="82" spans="1:6" x14ac:dyDescent="0.35">
      <c r="A82" s="112"/>
      <c r="B82" s="115"/>
      <c r="C82" s="112"/>
      <c r="D82" s="112"/>
      <c r="E82" s="113"/>
      <c r="F82" s="114"/>
    </row>
    <row r="83" spans="1:6" x14ac:dyDescent="0.35">
      <c r="A83" s="112"/>
      <c r="B83" s="115"/>
      <c r="C83" s="88"/>
      <c r="D83" s="112"/>
      <c r="E83" s="116"/>
      <c r="F83" s="117" t="str">
        <f>IF(C83="","",(C83*E83))</f>
        <v/>
      </c>
    </row>
    <row r="84" spans="1:6" x14ac:dyDescent="0.35">
      <c r="A84" s="112"/>
      <c r="B84" s="115"/>
      <c r="C84" s="112"/>
      <c r="D84" s="112"/>
      <c r="E84" s="113"/>
      <c r="F84" s="114"/>
    </row>
    <row r="85" spans="1:6" x14ac:dyDescent="0.35">
      <c r="A85" s="112"/>
      <c r="B85" s="115"/>
      <c r="C85" s="88"/>
      <c r="D85" s="112"/>
      <c r="E85" s="116"/>
      <c r="F85" s="117" t="str">
        <f>IF(C85="","",(C85*E85))</f>
        <v/>
      </c>
    </row>
    <row r="86" spans="1:6" x14ac:dyDescent="0.35">
      <c r="A86" s="112"/>
      <c r="B86" s="115"/>
      <c r="C86" s="112"/>
      <c r="D86" s="112"/>
      <c r="E86" s="113"/>
      <c r="F86" s="114"/>
    </row>
    <row r="87" spans="1:6" x14ac:dyDescent="0.35">
      <c r="A87" s="112"/>
      <c r="B87" s="115"/>
      <c r="C87" s="88"/>
      <c r="D87" s="112"/>
      <c r="E87" s="116"/>
      <c r="F87" s="117" t="str">
        <f>IF(C87="","",(C87*E87))</f>
        <v/>
      </c>
    </row>
    <row r="88" spans="1:6" x14ac:dyDescent="0.35">
      <c r="A88" s="112"/>
      <c r="B88" s="115"/>
      <c r="C88" s="112"/>
      <c r="D88" s="112"/>
      <c r="E88" s="113"/>
      <c r="F88" s="114"/>
    </row>
    <row r="89" spans="1:6" x14ac:dyDescent="0.35">
      <c r="A89" s="112"/>
      <c r="B89" s="115"/>
      <c r="C89" s="88"/>
      <c r="D89" s="112"/>
      <c r="E89" s="116"/>
      <c r="F89" s="117" t="str">
        <f>IF(C89="","",(C89*E89))</f>
        <v/>
      </c>
    </row>
    <row r="90" spans="1:6" x14ac:dyDescent="0.35">
      <c r="A90" s="112"/>
      <c r="B90" s="115"/>
      <c r="C90" s="112"/>
      <c r="D90" s="112"/>
      <c r="E90" s="113"/>
      <c r="F90" s="114"/>
    </row>
    <row r="91" spans="1:6" x14ac:dyDescent="0.35">
      <c r="A91" s="112"/>
      <c r="B91" s="115"/>
      <c r="C91" s="88"/>
      <c r="D91" s="112"/>
      <c r="E91" s="116"/>
      <c r="F91" s="117" t="str">
        <f>IF(C91="","",(C91*E91))</f>
        <v/>
      </c>
    </row>
    <row r="92" spans="1:6" x14ac:dyDescent="0.35">
      <c r="A92" s="112"/>
      <c r="B92" s="115"/>
      <c r="C92" s="112"/>
      <c r="D92" s="112"/>
      <c r="E92" s="113"/>
      <c r="F92" s="114"/>
    </row>
    <row r="93" spans="1:6" x14ac:dyDescent="0.35">
      <c r="A93" s="112"/>
      <c r="B93" s="115"/>
      <c r="C93" s="88"/>
      <c r="D93" s="112"/>
      <c r="E93" s="116"/>
      <c r="F93" s="117" t="str">
        <f>IF(C93="","",(C93*E93))</f>
        <v/>
      </c>
    </row>
    <row r="94" spans="1:6" x14ac:dyDescent="0.35">
      <c r="A94" s="112"/>
      <c r="B94" s="115"/>
      <c r="C94" s="88"/>
      <c r="D94" s="112"/>
      <c r="E94" s="116"/>
      <c r="F94" s="117" t="str">
        <f t="shared" ref="F94:F122" si="3">IF(C94="","",(C94*E94))</f>
        <v/>
      </c>
    </row>
    <row r="95" spans="1:6" x14ac:dyDescent="0.35">
      <c r="A95" s="112"/>
      <c r="B95" s="115"/>
      <c r="C95" s="88"/>
      <c r="D95" s="112"/>
      <c r="E95" s="116"/>
      <c r="F95" s="117" t="str">
        <f t="shared" si="3"/>
        <v/>
      </c>
    </row>
    <row r="96" spans="1:6" x14ac:dyDescent="0.35">
      <c r="A96" s="112"/>
      <c r="B96" s="115"/>
      <c r="C96" s="112"/>
      <c r="D96" s="112"/>
      <c r="E96" s="113"/>
      <c r="F96" s="117" t="str">
        <f t="shared" si="3"/>
        <v/>
      </c>
    </row>
    <row r="97" spans="1:6" x14ac:dyDescent="0.35">
      <c r="A97" s="112"/>
      <c r="B97" s="115"/>
      <c r="C97" s="88"/>
      <c r="D97" s="112"/>
      <c r="E97" s="113"/>
      <c r="F97" s="117" t="str">
        <f t="shared" si="3"/>
        <v/>
      </c>
    </row>
    <row r="98" spans="1:6" x14ac:dyDescent="0.35">
      <c r="A98" s="112"/>
      <c r="B98" s="115"/>
      <c r="C98" s="112"/>
      <c r="D98" s="112"/>
      <c r="E98" s="113"/>
      <c r="F98" s="117" t="str">
        <f t="shared" si="3"/>
        <v/>
      </c>
    </row>
    <row r="99" spans="1:6" x14ac:dyDescent="0.35">
      <c r="A99" s="112"/>
      <c r="B99" s="115"/>
      <c r="C99" s="88"/>
      <c r="D99" s="112"/>
      <c r="E99" s="113"/>
      <c r="F99" s="117" t="str">
        <f t="shared" si="3"/>
        <v/>
      </c>
    </row>
    <row r="100" spans="1:6" x14ac:dyDescent="0.35">
      <c r="A100" s="112"/>
      <c r="B100" s="115"/>
      <c r="C100" s="112"/>
      <c r="D100" s="112"/>
      <c r="E100" s="113"/>
      <c r="F100" s="117" t="str">
        <f t="shared" si="3"/>
        <v/>
      </c>
    </row>
    <row r="101" spans="1:6" x14ac:dyDescent="0.35">
      <c r="A101" s="112"/>
      <c r="B101" s="115"/>
      <c r="C101" s="88"/>
      <c r="D101" s="112"/>
      <c r="E101" s="113"/>
      <c r="F101" s="117" t="str">
        <f t="shared" si="3"/>
        <v/>
      </c>
    </row>
    <row r="102" spans="1:6" x14ac:dyDescent="0.35">
      <c r="A102" s="112"/>
      <c r="B102" s="115"/>
      <c r="C102" s="88"/>
      <c r="D102" s="112"/>
      <c r="E102" s="113"/>
      <c r="F102" s="117" t="str">
        <f t="shared" si="3"/>
        <v/>
      </c>
    </row>
    <row r="103" spans="1:6" x14ac:dyDescent="0.35">
      <c r="A103" s="112"/>
      <c r="B103" s="115"/>
      <c r="C103" s="88"/>
      <c r="D103" s="112"/>
      <c r="E103" s="113"/>
      <c r="F103" s="117" t="str">
        <f t="shared" si="3"/>
        <v/>
      </c>
    </row>
    <row r="104" spans="1:6" x14ac:dyDescent="0.35">
      <c r="A104" s="112"/>
      <c r="B104" s="115"/>
      <c r="C104" s="112"/>
      <c r="D104" s="112"/>
      <c r="E104" s="113"/>
      <c r="F104" s="117" t="str">
        <f t="shared" si="3"/>
        <v/>
      </c>
    </row>
    <row r="105" spans="1:6" x14ac:dyDescent="0.35">
      <c r="A105" s="112"/>
      <c r="B105" s="115"/>
      <c r="C105" s="88"/>
      <c r="D105" s="112"/>
      <c r="E105" s="116"/>
      <c r="F105" s="117" t="str">
        <f t="shared" si="3"/>
        <v/>
      </c>
    </row>
    <row r="106" spans="1:6" x14ac:dyDescent="0.35">
      <c r="A106" s="112"/>
      <c r="B106" s="115"/>
      <c r="C106" s="88"/>
      <c r="D106" s="112"/>
      <c r="E106" s="116"/>
      <c r="F106" s="117" t="str">
        <f t="shared" si="3"/>
        <v/>
      </c>
    </row>
    <row r="107" spans="1:6" x14ac:dyDescent="0.35">
      <c r="A107" s="112"/>
      <c r="B107" s="115"/>
      <c r="C107" s="88"/>
      <c r="D107" s="112"/>
      <c r="E107" s="116"/>
      <c r="F107" s="117" t="str">
        <f t="shared" si="3"/>
        <v/>
      </c>
    </row>
    <row r="108" spans="1:6" x14ac:dyDescent="0.35">
      <c r="A108" s="112"/>
      <c r="B108" s="115"/>
      <c r="C108" s="112"/>
      <c r="D108" s="112"/>
      <c r="E108" s="113"/>
      <c r="F108" s="117" t="str">
        <f t="shared" si="3"/>
        <v/>
      </c>
    </row>
    <row r="109" spans="1:6" x14ac:dyDescent="0.35">
      <c r="A109" s="112"/>
      <c r="B109" s="115"/>
      <c r="C109" s="88"/>
      <c r="D109" s="112"/>
      <c r="E109" s="116"/>
      <c r="F109" s="117" t="str">
        <f t="shared" si="3"/>
        <v/>
      </c>
    </row>
    <row r="110" spans="1:6" x14ac:dyDescent="0.35">
      <c r="A110" s="112"/>
      <c r="B110" s="115"/>
      <c r="C110" s="88"/>
      <c r="D110" s="112"/>
      <c r="E110" s="116"/>
      <c r="F110" s="117" t="str">
        <f t="shared" si="3"/>
        <v/>
      </c>
    </row>
    <row r="111" spans="1:6" x14ac:dyDescent="0.35">
      <c r="A111" s="112"/>
      <c r="B111" s="115"/>
      <c r="C111" s="88"/>
      <c r="D111" s="112"/>
      <c r="E111" s="116"/>
      <c r="F111" s="117" t="str">
        <f t="shared" si="3"/>
        <v/>
      </c>
    </row>
    <row r="112" spans="1:6" x14ac:dyDescent="0.35">
      <c r="A112" s="112"/>
      <c r="B112" s="115"/>
      <c r="C112" s="88"/>
      <c r="D112" s="112"/>
      <c r="E112" s="116"/>
      <c r="F112" s="117" t="str">
        <f t="shared" si="3"/>
        <v/>
      </c>
    </row>
    <row r="113" spans="1:6" x14ac:dyDescent="0.35">
      <c r="A113" s="112"/>
      <c r="B113" s="115"/>
      <c r="C113" s="88"/>
      <c r="D113" s="112"/>
      <c r="E113" s="116"/>
      <c r="F113" s="117" t="str">
        <f t="shared" si="3"/>
        <v/>
      </c>
    </row>
    <row r="114" spans="1:6" x14ac:dyDescent="0.35">
      <c r="A114" s="112"/>
      <c r="B114" s="112"/>
      <c r="C114" s="112"/>
      <c r="D114" s="112"/>
      <c r="E114" s="113"/>
      <c r="F114" s="117" t="str">
        <f t="shared" si="3"/>
        <v/>
      </c>
    </row>
    <row r="115" spans="1:6" x14ac:dyDescent="0.35">
      <c r="A115" s="112"/>
      <c r="B115" s="115"/>
      <c r="C115" s="88"/>
      <c r="D115" s="112"/>
      <c r="E115" s="116"/>
      <c r="F115" s="117" t="str">
        <f t="shared" si="3"/>
        <v/>
      </c>
    </row>
    <row r="116" spans="1:6" x14ac:dyDescent="0.35">
      <c r="A116" s="112"/>
      <c r="B116" s="115"/>
      <c r="C116" s="88"/>
      <c r="D116" s="112"/>
      <c r="E116" s="116"/>
      <c r="F116" s="117" t="str">
        <f t="shared" si="3"/>
        <v/>
      </c>
    </row>
    <row r="117" spans="1:6" x14ac:dyDescent="0.35">
      <c r="A117" s="112"/>
      <c r="B117" s="115"/>
      <c r="C117" s="88"/>
      <c r="D117" s="112"/>
      <c r="E117" s="116"/>
      <c r="F117" s="117" t="str">
        <f t="shared" si="3"/>
        <v/>
      </c>
    </row>
    <row r="118" spans="1:6" x14ac:dyDescent="0.35">
      <c r="A118" s="112"/>
      <c r="B118" s="115"/>
      <c r="C118" s="88"/>
      <c r="D118" s="112"/>
      <c r="E118" s="116"/>
      <c r="F118" s="117" t="str">
        <f t="shared" si="3"/>
        <v/>
      </c>
    </row>
    <row r="119" spans="1:6" x14ac:dyDescent="0.35">
      <c r="A119" s="112"/>
      <c r="B119" s="115"/>
      <c r="C119" s="88"/>
      <c r="D119" s="112"/>
      <c r="E119" s="116"/>
      <c r="F119" s="117" t="str">
        <f t="shared" si="3"/>
        <v/>
      </c>
    </row>
    <row r="120" spans="1:6" x14ac:dyDescent="0.35">
      <c r="A120" s="112"/>
      <c r="B120" s="115"/>
      <c r="C120" s="88"/>
      <c r="D120" s="112"/>
      <c r="E120" s="116"/>
      <c r="F120" s="117" t="str">
        <f t="shared" si="3"/>
        <v/>
      </c>
    </row>
    <row r="121" spans="1:6" x14ac:dyDescent="0.35">
      <c r="A121" s="112"/>
      <c r="B121" s="115"/>
      <c r="C121" s="88"/>
      <c r="D121" s="112"/>
      <c r="E121" s="116"/>
      <c r="F121" s="117" t="str">
        <f t="shared" si="3"/>
        <v/>
      </c>
    </row>
    <row r="122" spans="1:6" x14ac:dyDescent="0.35">
      <c r="A122" s="112"/>
      <c r="B122" s="115"/>
      <c r="C122" s="88"/>
      <c r="D122" s="112"/>
      <c r="E122" s="116"/>
      <c r="F122" s="117" t="str">
        <f t="shared" si="3"/>
        <v/>
      </c>
    </row>
    <row r="123" spans="1:6" x14ac:dyDescent="0.35">
      <c r="A123" s="112"/>
      <c r="B123" s="118"/>
      <c r="C123" s="88"/>
      <c r="D123" s="112"/>
      <c r="E123" s="116"/>
      <c r="F123" s="117"/>
    </row>
    <row r="124" spans="1:6" x14ac:dyDescent="0.35">
      <c r="A124" s="38"/>
      <c r="B124" s="6"/>
      <c r="C124" s="6"/>
      <c r="D124" s="23"/>
      <c r="E124" s="6"/>
      <c r="F124" s="31"/>
    </row>
    <row r="125" spans="1:6" x14ac:dyDescent="0.35">
      <c r="A125" s="39"/>
      <c r="B125" s="9"/>
      <c r="C125" s="9"/>
      <c r="D125" s="40" t="s">
        <v>27</v>
      </c>
      <c r="E125" s="40" t="s">
        <v>20</v>
      </c>
      <c r="F125" s="33">
        <f>SUM(F66:F115)</f>
        <v>0</v>
      </c>
    </row>
    <row r="126" spans="1:6" x14ac:dyDescent="0.35">
      <c r="A126" s="41"/>
      <c r="B126" s="12"/>
      <c r="C126" s="12"/>
      <c r="D126" s="24"/>
      <c r="E126" s="12"/>
      <c r="F126" s="34"/>
    </row>
  </sheetData>
  <pageMargins left="0.55118110236220474" right="0.19685039370078741" top="0.35433070866141736" bottom="0.55118110236220474" header="0.19685039370078741" footer="0.39370078740157483"/>
  <pageSetup paperSize="9" scale="69" orientation="portrait" r:id="rId1"/>
  <headerFooter alignWithMargins="0">
    <oddFooter>&amp;C&amp;"Times New Roman,Regular"Page 8/&amp;P</oddFooter>
  </headerFooter>
  <rowBreaks count="1" manualBreakCount="1">
    <brk id="6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b5619b-2737-4c1b-aff3-c23e8b0151fd" xsi:nil="true"/>
    <lcf76f155ced4ddcb4097134ff3c332f xmlns="d6b76c3c-d3e9-40cb-83b9-5c9c6f4ab48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F8F52EB0679840B8DB3A9047475997" ma:contentTypeVersion="14" ma:contentTypeDescription="Create a new document." ma:contentTypeScope="" ma:versionID="2290816e5269c7011889704ff0b43e1f">
  <xsd:schema xmlns:xsd="http://www.w3.org/2001/XMLSchema" xmlns:xs="http://www.w3.org/2001/XMLSchema" xmlns:p="http://schemas.microsoft.com/office/2006/metadata/properties" xmlns:ns2="d6b76c3c-d3e9-40cb-83b9-5c9c6f4ab48b" xmlns:ns3="27b5619b-2737-4c1b-aff3-c23e8b0151fd" targetNamespace="http://schemas.microsoft.com/office/2006/metadata/properties" ma:root="true" ma:fieldsID="c14b7a1b615ccfe47f2859f74181d0e7" ns2:_="" ns3:_="">
    <xsd:import namespace="d6b76c3c-d3e9-40cb-83b9-5c9c6f4ab48b"/>
    <xsd:import namespace="27b5619b-2737-4c1b-aff3-c23e8b0151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76c3c-d3e9-40cb-83b9-5c9c6f4ab4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1ba456b-417a-4732-af52-bc4faa917b9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b5619b-2737-4c1b-aff3-c23e8b0151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929fe5-ae26-4ff3-8cb6-3407b82b27b9}" ma:internalName="TaxCatchAll" ma:showField="CatchAllData" ma:web="27b5619b-2737-4c1b-aff3-c23e8b0151f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A3C102-4BC9-42CE-B107-1506B341FB4E}">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5332d4cd-6a4b-4bec-b79d-3bc83a15d49c"/>
    <ds:schemaRef ds:uri="e53eacda-57c0-4349-a35b-a626a82ed15c"/>
    <ds:schemaRef ds:uri="27b5619b-2737-4c1b-aff3-c23e8b0151fd"/>
    <ds:schemaRef ds:uri="d6b76c3c-d3e9-40cb-83b9-5c9c6f4ab48b"/>
  </ds:schemaRefs>
</ds:datastoreItem>
</file>

<file path=customXml/itemProps2.xml><?xml version="1.0" encoding="utf-8"?>
<ds:datastoreItem xmlns:ds="http://schemas.openxmlformats.org/officeDocument/2006/customXml" ds:itemID="{6718C843-DECC-4342-8372-F6EDE57D55E9}">
  <ds:schemaRefs>
    <ds:schemaRef ds:uri="http://schemas.microsoft.com/sharepoint/v3/contenttype/forms"/>
  </ds:schemaRefs>
</ds:datastoreItem>
</file>

<file path=customXml/itemProps3.xml><?xml version="1.0" encoding="utf-8"?>
<ds:datastoreItem xmlns:ds="http://schemas.openxmlformats.org/officeDocument/2006/customXml" ds:itemID="{8B5E5B4E-640C-44DA-8036-B427D2BD67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76c3c-d3e9-40cb-83b9-5c9c6f4ab48b"/>
    <ds:schemaRef ds:uri="27b5619b-2737-4c1b-aff3-c23e8b0151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22</vt:i4>
      </vt:variant>
    </vt:vector>
  </HeadingPairs>
  <TitlesOfParts>
    <vt:vector size="36" baseType="lpstr">
      <vt:lpstr>Summary</vt:lpstr>
      <vt:lpstr>00 General Clarifications</vt:lpstr>
      <vt:lpstr>01 Prelims</vt:lpstr>
      <vt:lpstr>02 Plot Groundworks</vt:lpstr>
      <vt:lpstr>03 External Groundworks</vt:lpstr>
      <vt:lpstr>04 External Facade</vt:lpstr>
      <vt:lpstr>05 Drylining, Screed &amp; Render</vt:lpstr>
      <vt:lpstr>06 M&amp;E</vt:lpstr>
      <vt:lpstr>07 Carpentry</vt:lpstr>
      <vt:lpstr>08 Roof Coverings</vt:lpstr>
      <vt:lpstr>09 Decorating &amp; Other Finishing</vt:lpstr>
      <vt:lpstr>10 Materials</vt:lpstr>
      <vt:lpstr>11 Landscaping</vt:lpstr>
      <vt:lpstr>12 Walls &amp; Fences</vt:lpstr>
      <vt:lpstr>'00 General Clarifications'!Print_Area</vt:lpstr>
      <vt:lpstr>'02 Plot Groundworks'!Print_Area</vt:lpstr>
      <vt:lpstr>'03 External Groundworks'!Print_Area</vt:lpstr>
      <vt:lpstr>'04 External Facade'!Print_Area</vt:lpstr>
      <vt:lpstr>'05 Drylining, Screed &amp; Render'!Print_Area</vt:lpstr>
      <vt:lpstr>'07 Carpentry'!Print_Area</vt:lpstr>
      <vt:lpstr>'08 Roof Coverings'!Print_Area</vt:lpstr>
      <vt:lpstr>'09 Decorating &amp; Other Finishing'!Print_Area</vt:lpstr>
      <vt:lpstr>'10 Materials'!Print_Area</vt:lpstr>
      <vt:lpstr>'11 Landscaping'!Print_Area</vt:lpstr>
      <vt:lpstr>'12 Walls &amp; Fences'!Print_Area</vt:lpstr>
      <vt:lpstr>'02 Plot Groundworks'!Print_Titles</vt:lpstr>
      <vt:lpstr>'03 External Groundworks'!Print_Titles</vt:lpstr>
      <vt:lpstr>'04 External Facade'!Print_Titles</vt:lpstr>
      <vt:lpstr>'05 Drylining, Screed &amp; Render'!Print_Titles</vt:lpstr>
      <vt:lpstr>'06 M&amp;E'!Print_Titles</vt:lpstr>
      <vt:lpstr>'07 Carpentry'!Print_Titles</vt:lpstr>
      <vt:lpstr>'08 Roof Coverings'!Print_Titles</vt:lpstr>
      <vt:lpstr>'09 Decorating &amp; Other Finishing'!Print_Titles</vt:lpstr>
      <vt:lpstr>'10 Materials'!Print_Titles</vt:lpstr>
      <vt:lpstr>'11 Landscaping'!Print_Titles</vt:lpstr>
      <vt:lpstr>'12 Walls &amp; Fences'!Print_Titles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dc:creator>
  <cp:lastModifiedBy>Michael Richardson</cp:lastModifiedBy>
  <cp:lastPrinted>2023-11-21T09:05:23Z</cp:lastPrinted>
  <dcterms:created xsi:type="dcterms:W3CDTF">2009-09-16T07:57:23Z</dcterms:created>
  <dcterms:modified xsi:type="dcterms:W3CDTF">2025-01-17T10:05:16Z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0x010100EAF8F52EB0679840B8DB3A9047475997</vt:lpwstr>
  </property>
  <property fmtid="{D5CDD505-2E9C-101B-9397-08002B2CF9AE}" pid="3" name="MediaServiceImageTags">
    <vt:lpwstr/>
  </property>
</Properties>
</file>